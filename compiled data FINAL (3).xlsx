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cf9d054db4eee/Desktop/"/>
    </mc:Choice>
  </mc:AlternateContent>
  <xr:revisionPtr revIDLastSave="0" documentId="8_{B6B8DD47-9DBA-4595-9F14-E759C77C5629}" xr6:coauthVersionLast="47" xr6:coauthVersionMax="47" xr10:uidLastSave="{00000000-0000-0000-0000-000000000000}"/>
  <bookViews>
    <workbookView xWindow="-110" yWindow="-110" windowWidth="19420" windowHeight="10300" xr2:uid="{EFDF36A6-E055-4768-AC7C-318592178410}"/>
  </bookViews>
  <sheets>
    <sheet name="VNS_WHEAT" sheetId="20" r:id="rId1"/>
    <sheet name="VNS_MAIZE" sheetId="19" r:id="rId2"/>
    <sheet name="VNS_RICE" sheetId="18" r:id="rId3"/>
    <sheet name="SNB_WHEAT" sheetId="17" r:id="rId4"/>
    <sheet name="SNB_MAIZE" sheetId="16" r:id="rId5"/>
    <sheet name="SNB_RICE" sheetId="15" r:id="rId6"/>
    <sheet name="PYG_WHEAT" sheetId="14" r:id="rId7"/>
    <sheet name="PYG_MAIZE" sheetId="13" r:id="rId8"/>
    <sheet name="PYG_RICE" sheetId="12" r:id="rId9"/>
    <sheet name="GKP_Wheat" sheetId="11" r:id="rId10"/>
    <sheet name="GKP_MAIZE" sheetId="10" r:id="rId11"/>
    <sheet name="GKP_RICE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9" l="1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7" i="10"/>
  <c r="F24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6" i="10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5" i="11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7" i="12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7" i="16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6" i="12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6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7" i="13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7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6" i="14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1" i="15"/>
  <c r="F22" i="15"/>
  <c r="F23" i="15"/>
  <c r="F24" i="15"/>
  <c r="F6" i="15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1" i="16"/>
  <c r="F22" i="16"/>
  <c r="F23" i="16"/>
  <c r="F24" i="16"/>
  <c r="F6" i="16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7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6" i="17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7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6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7" i="18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7" i="20"/>
  <c r="V24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7" i="19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6" i="20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7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7" i="19"/>
  <c r="F8" i="19"/>
  <c r="F9" i="19"/>
  <c r="F10" i="19"/>
  <c r="F6" i="19"/>
</calcChain>
</file>

<file path=xl/sharedStrings.xml><?xml version="1.0" encoding="utf-8"?>
<sst xmlns="http://schemas.openxmlformats.org/spreadsheetml/2006/main" count="417" uniqueCount="123">
  <si>
    <t>time</t>
  </si>
  <si>
    <t>FOR RICE</t>
  </si>
  <si>
    <t>years</t>
  </si>
  <si>
    <t>DAY</t>
  </si>
  <si>
    <t>NIGHT</t>
  </si>
  <si>
    <t>Surface skin Temp</t>
  </si>
  <si>
    <t>FOR MaiZE</t>
  </si>
  <si>
    <t>FOR WheAT</t>
  </si>
  <si>
    <t>YEARS</t>
  </si>
  <si>
    <t>90%TILE PRECIPITATION (mm/DAY)</t>
  </si>
  <si>
    <t>90%tile Precipitation (mm/day)</t>
  </si>
  <si>
    <t>90%tile precipitation</t>
  </si>
  <si>
    <t>mm/day</t>
  </si>
  <si>
    <t>meteorological parameters</t>
  </si>
  <si>
    <t>yield</t>
  </si>
  <si>
    <t>Net Downward Shortwave radiation</t>
  </si>
  <si>
    <t>Rice</t>
  </si>
  <si>
    <t>ppbv</t>
  </si>
  <si>
    <t xml:space="preserve"> μgm-3</t>
  </si>
  <si>
    <t>Wm-2</t>
  </si>
  <si>
    <t xml:space="preserve">Year </t>
  </si>
  <si>
    <t>AOD</t>
  </si>
  <si>
    <t>Yield</t>
  </si>
  <si>
    <t xml:space="preserve">ch4 night </t>
  </si>
  <si>
    <t xml:space="preserve">ch4 day </t>
  </si>
  <si>
    <t>total column ozone dobson</t>
  </si>
  <si>
    <t>PM2.5 (μgm-3)</t>
  </si>
  <si>
    <t>Net DW SW Wm-2</t>
  </si>
  <si>
    <t>so2 μgm-3</t>
  </si>
  <si>
    <t>CO sfc conc</t>
  </si>
  <si>
    <t xml:space="preserve"> shortwave radiation</t>
  </si>
  <si>
    <t>CO ppbv</t>
  </si>
  <si>
    <t>O3 total column 0.25 deg</t>
  </si>
  <si>
    <t>O3 total column 1 deg</t>
  </si>
  <si>
    <t>SO2 column amount</t>
  </si>
  <si>
    <t xml:space="preserve">NOTE: for GKP and PYG SO2 data is of 2 type density and concentration </t>
  </si>
  <si>
    <t xml:space="preserve"> sir on both data set I have worked but on the paper I have taken only concentration as for some areas density data was not available/different unit</t>
  </si>
  <si>
    <t>density given in 1000 whereas conc. in microgram/me3</t>
  </si>
  <si>
    <t>discuss it with pradeep</t>
  </si>
  <si>
    <t>While SNB &amp; VNS has only concentration data file of SO2</t>
  </si>
  <si>
    <t>O3ppbv</t>
  </si>
  <si>
    <t>GKP MAIZE</t>
  </si>
  <si>
    <t>O3 ppbv</t>
  </si>
  <si>
    <t>Aod</t>
  </si>
  <si>
    <t>WHEAT_GKP</t>
  </si>
  <si>
    <t>DU</t>
  </si>
  <si>
    <t>DURATION NOV TO FEB</t>
  </si>
  <si>
    <t>Year</t>
  </si>
  <si>
    <t xml:space="preserve"> Radiation</t>
  </si>
  <si>
    <t>CO night</t>
  </si>
  <si>
    <t>CO Day ppbv</t>
  </si>
  <si>
    <t>pm2.5 μgm-3</t>
  </si>
  <si>
    <t>FOR WHEAT PM2.5 DATA (ON DAILY AND GIVE SPATIAL RESOLUTION )</t>
  </si>
  <si>
    <t xml:space="preserve"> WAS NOT AVAILABLE , SO COMPUTED VALUE FOR DURATION OF 1 NOV TO 28 FEB.</t>
  </si>
  <si>
    <t>(MONTHLY AVG)</t>
  </si>
  <si>
    <t>μgm-3</t>
  </si>
  <si>
    <t>total column o3 DU</t>
  </si>
  <si>
    <t>PM 2.5 (μgm-3)</t>
  </si>
  <si>
    <t>Net SW Land WM-2</t>
  </si>
  <si>
    <t>so2 conc</t>
  </si>
  <si>
    <t>Note: O3 value is givn in mole fraction and other in ppb for PYG and GKP</t>
  </si>
  <si>
    <t xml:space="preserve">Whereas for SNB and VNS day &amp; night O3 is given </t>
  </si>
  <si>
    <t>SO GKP &amp; PYG only one column data were include in analysis for unit uniformity</t>
  </si>
  <si>
    <t>for rice</t>
  </si>
  <si>
    <t>prayagraj maize</t>
  </si>
  <si>
    <t>prayagraj wheat</t>
  </si>
  <si>
    <t>1nov to 28 feb</t>
  </si>
  <si>
    <t xml:space="preserve">CO night </t>
  </si>
  <si>
    <t>CO_Day</t>
  </si>
  <si>
    <t>Ozone 0.25</t>
  </si>
  <si>
    <t>Ozone 1 deg.</t>
  </si>
  <si>
    <t>SO2 column DU</t>
  </si>
  <si>
    <t>pm2.5</t>
  </si>
  <si>
    <t>for wheat</t>
  </si>
  <si>
    <t>sonbhadra rice</t>
  </si>
  <si>
    <t>Day O3</t>
  </si>
  <si>
    <t>WM-2</t>
  </si>
  <si>
    <t>total o3 column</t>
  </si>
  <si>
    <t>Net SW Land</t>
  </si>
  <si>
    <t>sonbhadra maize</t>
  </si>
  <si>
    <t>O3_total column o3 DU</t>
  </si>
  <si>
    <t>for maize</t>
  </si>
  <si>
    <t>sonbhadra wheat</t>
  </si>
  <si>
    <t>ch4 day</t>
  </si>
  <si>
    <t>pm2.5  μgm-3</t>
  </si>
  <si>
    <t>VNS RICE</t>
  </si>
  <si>
    <t>Night O3</t>
  </si>
  <si>
    <t xml:space="preserve"> (μgm-3)</t>
  </si>
  <si>
    <t>yield t/h</t>
  </si>
  <si>
    <t>values in du</t>
  </si>
  <si>
    <t>du</t>
  </si>
  <si>
    <t>SO2 Sfc ms cnc</t>
  </si>
  <si>
    <t>CO surface mass concentration</t>
  </si>
  <si>
    <t>Ozone sfc mass conc.</t>
  </si>
  <si>
    <t xml:space="preserve">90%TILE PRECIPITATION </t>
  </si>
  <si>
    <t>vns maize</t>
  </si>
  <si>
    <t>DAY O3</t>
  </si>
  <si>
    <t>CO surface concentration</t>
  </si>
  <si>
    <t>O3 sfc mass conc.</t>
  </si>
  <si>
    <t>FOR MAIZE</t>
  </si>
  <si>
    <t>wheat vns</t>
  </si>
  <si>
    <t>Methane Daytime Daily 1 Deg</t>
  </si>
  <si>
    <t>CO Day</t>
  </si>
  <si>
    <t>CO_Night</t>
  </si>
  <si>
    <t xml:space="preserve">Ozone 0.25 </t>
  </si>
  <si>
    <t>FOR WHEAT</t>
  </si>
  <si>
    <t>GORAKHPUR MAIZE</t>
  </si>
  <si>
    <t>Gorakhpur RICE</t>
  </si>
  <si>
    <t>prayagraj RICE</t>
  </si>
  <si>
    <t>PPBV</t>
  </si>
  <si>
    <t>CH4 AVG</t>
  </si>
  <si>
    <t>O3 AVG</t>
  </si>
  <si>
    <t>CO AVG</t>
  </si>
  <si>
    <t>SKIN TEMP</t>
  </si>
  <si>
    <t>AVG</t>
  </si>
  <si>
    <t>AVG O3</t>
  </si>
  <si>
    <t>co Avg</t>
  </si>
  <si>
    <t xml:space="preserve">ch4 </t>
  </si>
  <si>
    <t>ch4 NIGHT</t>
  </si>
  <si>
    <t xml:space="preserve">SKIN TEMP </t>
  </si>
  <si>
    <t>PPBV AVG</t>
  </si>
  <si>
    <t>CH4</t>
  </si>
  <si>
    <t xml:space="preserve">CH4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</si>
</sst>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;\(0.00\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1"/>
      <color rgb="FFC00000"/>
      <name val="Aptos Narrow"/>
      <family val="2"/>
      <scheme val="minor"/>
    </font>
    <font>
      <sz val="10"/>
      <name val="Arial"/>
      <family val="2"/>
    </font>
    <font>
      <sz val="14"/>
      <color theme="1"/>
      <name val="Aptos Narrow"/>
      <family val="2"/>
      <scheme val="minor"/>
    </font>
    <font>
      <sz val="16"/>
      <color rgb="FFC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C00000"/>
      <name val="Algerian"/>
      <family val="5"/>
    </font>
    <font>
      <sz val="11"/>
      <color rgb="FFC00000"/>
      <name val="Amasis MT Pro Black"/>
      <family val="1"/>
    </font>
    <font>
      <sz val="11"/>
      <color rgb="FFC00000"/>
      <name val="ADLaM Display"/>
    </font>
    <font>
      <b/>
      <sz val="11"/>
      <color rgb="FFC00000"/>
      <name val="Alasassy Caps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</cellStyleXfs>
  <cellXfs count="29">
    <xf numFmtId="0" fontId="0" fillId="0" borderId="0" xfId="0"/>
    <xf numFmtId="0" fontId="16" fillId="0" borderId="0" xfId="0" applyFont="1"/>
    <xf numFmtId="0" fontId="16" fillId="33" borderId="0" xfId="0" applyFont="1" applyFill="1"/>
    <xf numFmtId="0" fontId="14" fillId="0" borderId="0" xfId="0" applyFont="1"/>
    <xf numFmtId="0" fontId="0" fillId="33" borderId="0" xfId="0" applyFill="1"/>
    <xf numFmtId="0" fontId="21" fillId="33" borderId="0" xfId="0" applyFont="1" applyFill="1"/>
    <xf numFmtId="0" fontId="21" fillId="0" borderId="0" xfId="0" applyFont="1"/>
    <xf numFmtId="0" fontId="0" fillId="34" borderId="0" xfId="0" applyFill="1"/>
    <xf numFmtId="0" fontId="19" fillId="33" borderId="0" xfId="0" applyFont="1" applyFill="1"/>
    <xf numFmtId="0" fontId="22" fillId="33" borderId="0" xfId="0" applyFont="1" applyFill="1"/>
    <xf numFmtId="0" fontId="23" fillId="0" borderId="0" xfId="0" applyFont="1"/>
    <xf numFmtId="164" fontId="0" fillId="0" borderId="0" xfId="0" applyNumberFormat="1"/>
    <xf numFmtId="0" fontId="19" fillId="0" borderId="0" xfId="0" applyFont="1"/>
    <xf numFmtId="2" fontId="0" fillId="0" borderId="0" xfId="0" applyNumberFormat="1"/>
    <xf numFmtId="0" fontId="14" fillId="0" borderId="0" xfId="0" applyFont="1" applyAlignment="1">
      <alignment horizontal="center"/>
    </xf>
    <xf numFmtId="0" fontId="14" fillId="33" borderId="0" xfId="0" applyFont="1" applyFill="1" applyAlignment="1">
      <alignment horizontal="center"/>
    </xf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0" fillId="37" borderId="0" xfId="0" applyFill="1"/>
    <xf numFmtId="0" fontId="14" fillId="37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14" fillId="0" borderId="0" xfId="0" applyFont="1" applyAlignment="1">
      <alignment horizontal="center" textRotation="255"/>
    </xf>
    <xf numFmtId="0" fontId="14" fillId="0" borderId="0" xfId="0" applyFont="1" applyAlignment="1">
      <alignment horizontal="center"/>
    </xf>
    <xf numFmtId="0" fontId="14" fillId="33" borderId="0" xfId="0" applyFont="1" applyFill="1" applyAlignment="1">
      <alignment horizontal="center"/>
    </xf>
    <xf numFmtId="0" fontId="27" fillId="33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34D7476-61D7-476E-8F74-92AC5BEBFF3D}"/>
    <cellStyle name="Normal 2 2" xfId="43" xr:uid="{ECF8882E-CCFD-4AB3-B0FA-1D5F7B31D93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EB67-37FF-4E87-9A71-49CA1380DC72}">
  <dimension ref="A1:W25"/>
  <sheetViews>
    <sheetView tabSelected="1" topLeftCell="E1" workbookViewId="0">
      <selection activeCell="X10" sqref="X10"/>
    </sheetView>
  </sheetViews>
  <sheetFormatPr defaultRowHeight="14.5" x14ac:dyDescent="0.35"/>
  <cols>
    <col min="17" max="17" width="8.54296875" customWidth="1"/>
  </cols>
  <sheetData>
    <row r="1" spans="1:23" ht="16" x14ac:dyDescent="0.4">
      <c r="A1" s="21" t="s">
        <v>100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Q1" s="22" t="s">
        <v>13</v>
      </c>
      <c r="R1" s="23" t="s">
        <v>5</v>
      </c>
      <c r="S1" s="23"/>
      <c r="T1" s="23"/>
      <c r="U1" s="14"/>
      <c r="V1" s="3" t="s">
        <v>11</v>
      </c>
      <c r="W1" s="3"/>
    </row>
    <row r="2" spans="1:23" x14ac:dyDescent="0.35">
      <c r="A2" s="12"/>
      <c r="B2" s="12"/>
      <c r="C2" s="12"/>
      <c r="D2" s="12" t="s">
        <v>17</v>
      </c>
      <c r="E2" s="12" t="s">
        <v>19</v>
      </c>
      <c r="F2" s="12" t="s">
        <v>17</v>
      </c>
      <c r="G2" s="12" t="s">
        <v>17</v>
      </c>
      <c r="H2" s="16" t="s">
        <v>17</v>
      </c>
      <c r="I2" s="12" t="s">
        <v>45</v>
      </c>
      <c r="J2" s="12" t="s">
        <v>45</v>
      </c>
      <c r="K2" s="12"/>
      <c r="L2" s="12"/>
      <c r="M2" s="12" t="s">
        <v>87</v>
      </c>
      <c r="N2" s="12"/>
      <c r="Q2" s="22"/>
      <c r="R2" s="24" t="s">
        <v>105</v>
      </c>
      <c r="S2" s="24"/>
      <c r="T2" s="24"/>
      <c r="U2" s="15" t="s">
        <v>113</v>
      </c>
      <c r="V2" s="24" t="s">
        <v>12</v>
      </c>
      <c r="W2" s="24"/>
    </row>
    <row r="3" spans="1:23" x14ac:dyDescent="0.35">
      <c r="A3" s="12" t="s">
        <v>0</v>
      </c>
      <c r="B3" s="12" t="s">
        <v>21</v>
      </c>
      <c r="C3" s="12" t="s">
        <v>14</v>
      </c>
      <c r="D3" s="12" t="s">
        <v>101</v>
      </c>
      <c r="E3" s="12" t="s">
        <v>15</v>
      </c>
      <c r="F3" s="12" t="s">
        <v>102</v>
      </c>
      <c r="G3" s="12" t="s">
        <v>103</v>
      </c>
      <c r="H3" s="16" t="s">
        <v>112</v>
      </c>
      <c r="I3" s="12" t="s">
        <v>104</v>
      </c>
      <c r="J3" s="12" t="s">
        <v>70</v>
      </c>
      <c r="K3" s="12" t="s">
        <v>71</v>
      </c>
      <c r="L3" s="12"/>
      <c r="M3" s="12" t="s">
        <v>26</v>
      </c>
      <c r="N3" s="12"/>
      <c r="Q3" s="22"/>
      <c r="R3" t="s">
        <v>2</v>
      </c>
      <c r="S3" t="s">
        <v>3</v>
      </c>
      <c r="T3" t="s">
        <v>4</v>
      </c>
      <c r="U3" t="s">
        <v>114</v>
      </c>
      <c r="V3" t="s">
        <v>8</v>
      </c>
      <c r="W3" t="s">
        <v>94</v>
      </c>
    </row>
    <row r="4" spans="1:23" x14ac:dyDescent="0.35">
      <c r="A4">
        <v>2000</v>
      </c>
      <c r="B4">
        <v>0.394205317</v>
      </c>
      <c r="C4" s="11">
        <v>2.7072627163083398</v>
      </c>
      <c r="E4">
        <v>165.17942780826453</v>
      </c>
      <c r="M4">
        <v>66.875</v>
      </c>
      <c r="Q4" s="22"/>
      <c r="R4">
        <v>2000</v>
      </c>
      <c r="V4">
        <v>2000</v>
      </c>
      <c r="W4">
        <v>38.612593650000001</v>
      </c>
    </row>
    <row r="5" spans="1:23" x14ac:dyDescent="0.35">
      <c r="A5">
        <v>2001</v>
      </c>
      <c r="B5">
        <v>0.49432407325</v>
      </c>
      <c r="C5" s="11">
        <v>2.5282630276629501</v>
      </c>
      <c r="E5">
        <v>162.80977373140496</v>
      </c>
      <c r="M5">
        <v>69.2</v>
      </c>
      <c r="Q5" s="22"/>
      <c r="R5">
        <v>2001</v>
      </c>
      <c r="V5">
        <v>2001</v>
      </c>
      <c r="W5">
        <v>34.464214800000001</v>
      </c>
    </row>
    <row r="6" spans="1:23" x14ac:dyDescent="0.35">
      <c r="A6">
        <v>2002</v>
      </c>
      <c r="B6">
        <v>0.43377938850000003</v>
      </c>
      <c r="C6" s="11">
        <v>2.5505977203224899</v>
      </c>
      <c r="D6">
        <v>1796.9403419999996</v>
      </c>
      <c r="E6">
        <v>165.50304632231411</v>
      </c>
      <c r="F6">
        <v>166.36819974712645</v>
      </c>
      <c r="G6">
        <v>152.37363032530115</v>
      </c>
      <c r="H6">
        <f>AVERAGE(F6:G6)</f>
        <v>159.3709150362138</v>
      </c>
      <c r="M6">
        <v>66.474999999999994</v>
      </c>
      <c r="Q6" s="22"/>
      <c r="R6">
        <v>2002</v>
      </c>
      <c r="V6">
        <v>2002</v>
      </c>
      <c r="W6">
        <v>34.464214800000001</v>
      </c>
    </row>
    <row r="7" spans="1:23" x14ac:dyDescent="0.35">
      <c r="A7">
        <v>2003</v>
      </c>
      <c r="B7">
        <v>0.44588563599999997</v>
      </c>
      <c r="C7" s="11">
        <v>2.12616934158223</v>
      </c>
      <c r="D7">
        <v>1798.3683701666671</v>
      </c>
      <c r="E7">
        <v>168.48231176967215</v>
      </c>
      <c r="F7">
        <v>157.58061121428571</v>
      </c>
      <c r="G7">
        <v>153.72497730000006</v>
      </c>
      <c r="H7">
        <f t="shared" ref="H7:H24" si="0">AVERAGE(F7:G7)</f>
        <v>155.65279425714289</v>
      </c>
      <c r="M7">
        <v>64.424999999999997</v>
      </c>
      <c r="Q7" s="22"/>
      <c r="R7">
        <v>2003</v>
      </c>
      <c r="S7">
        <v>26.801172274999999</v>
      </c>
      <c r="T7">
        <v>10.36367227</v>
      </c>
      <c r="U7">
        <f>AVERAGE(S7:T7)</f>
        <v>18.582422272500001</v>
      </c>
      <c r="V7">
        <v>2003</v>
      </c>
      <c r="W7">
        <v>39.713649000000004</v>
      </c>
    </row>
    <row r="8" spans="1:23" x14ac:dyDescent="0.35">
      <c r="A8">
        <v>2004</v>
      </c>
      <c r="B8">
        <v>0.313492298</v>
      </c>
      <c r="C8" s="11">
        <v>2.6004332843828601</v>
      </c>
      <c r="D8">
        <v>1801.0251829508202</v>
      </c>
      <c r="E8">
        <v>158.45295289173561</v>
      </c>
      <c r="F8">
        <v>160.51148208433739</v>
      </c>
      <c r="G8">
        <v>152.80113139080464</v>
      </c>
      <c r="H8">
        <f t="shared" si="0"/>
        <v>156.65630673757101</v>
      </c>
      <c r="I8">
        <v>262.47547987500002</v>
      </c>
      <c r="J8">
        <v>264.02115453846147</v>
      </c>
      <c r="K8">
        <v>6.0785716508571397E-2</v>
      </c>
      <c r="M8">
        <v>65.825000000000003</v>
      </c>
      <c r="Q8" s="22"/>
      <c r="R8">
        <v>2004</v>
      </c>
      <c r="S8">
        <v>28.254297274999999</v>
      </c>
      <c r="T8">
        <v>12.101953525000001</v>
      </c>
      <c r="U8">
        <f t="shared" ref="U8:U24" si="1">AVERAGE(S8:T8)</f>
        <v>20.178125399999999</v>
      </c>
      <c r="V8">
        <v>2004</v>
      </c>
      <c r="W8">
        <v>44.578769699999995</v>
      </c>
    </row>
    <row r="9" spans="1:23" x14ac:dyDescent="0.35">
      <c r="A9">
        <v>2005</v>
      </c>
      <c r="B9">
        <v>0.43010783199999997</v>
      </c>
      <c r="C9" s="11">
        <v>1.9007299480254001</v>
      </c>
      <c r="D9">
        <v>1787.7635466666663</v>
      </c>
      <c r="E9">
        <v>162.09542167603303</v>
      </c>
      <c r="F9">
        <v>157.41055153658539</v>
      </c>
      <c r="G9">
        <v>154.84003694736845</v>
      </c>
      <c r="H9">
        <f t="shared" si="0"/>
        <v>156.12529424197692</v>
      </c>
      <c r="I9">
        <v>249.22869633043501</v>
      </c>
      <c r="J9">
        <v>250.00608601739128</v>
      </c>
      <c r="K9">
        <v>-2.4166667687333301E-2</v>
      </c>
      <c r="M9">
        <v>73.75</v>
      </c>
      <c r="Q9" s="22"/>
      <c r="R9">
        <v>2005</v>
      </c>
      <c r="S9">
        <v>29.418359299999999</v>
      </c>
      <c r="T9">
        <v>11.496484765000002</v>
      </c>
      <c r="U9">
        <f t="shared" si="1"/>
        <v>20.457422032499998</v>
      </c>
      <c r="V9">
        <v>2005</v>
      </c>
      <c r="W9">
        <v>38.454061520000003</v>
      </c>
    </row>
    <row r="10" spans="1:23" x14ac:dyDescent="0.35">
      <c r="A10">
        <v>2006</v>
      </c>
      <c r="B10">
        <v>0.49932988700000003</v>
      </c>
      <c r="C10" s="11">
        <v>2.1444974972231399</v>
      </c>
      <c r="D10">
        <v>1802.9097921052633</v>
      </c>
      <c r="E10">
        <v>162.32486883966945</v>
      </c>
      <c r="F10">
        <v>149.51517593023257</v>
      </c>
      <c r="G10">
        <v>155.67706599999991</v>
      </c>
      <c r="H10">
        <f t="shared" si="0"/>
        <v>152.59612096511626</v>
      </c>
      <c r="I10">
        <v>258.176495162393</v>
      </c>
      <c r="J10">
        <v>259.90341800854702</v>
      </c>
      <c r="K10">
        <v>-2.4144439853999999E-2</v>
      </c>
      <c r="M10">
        <v>59.825000000000003</v>
      </c>
      <c r="Q10" s="22"/>
      <c r="R10">
        <v>2006</v>
      </c>
      <c r="S10">
        <v>28.369531174999999</v>
      </c>
      <c r="T10">
        <v>12.062891019999999</v>
      </c>
      <c r="U10">
        <f t="shared" si="1"/>
        <v>20.2162110975</v>
      </c>
      <c r="V10">
        <v>2006</v>
      </c>
      <c r="W10">
        <v>38.386680599999998</v>
      </c>
    </row>
    <row r="11" spans="1:23" x14ac:dyDescent="0.35">
      <c r="A11">
        <v>2007</v>
      </c>
      <c r="B11">
        <v>0.55448642399999992</v>
      </c>
      <c r="C11" s="11">
        <v>2.5346618461450201</v>
      </c>
      <c r="D11">
        <v>1800.6479686206899</v>
      </c>
      <c r="E11">
        <v>160.60777712622945</v>
      </c>
      <c r="F11">
        <v>151.82692246666667</v>
      </c>
      <c r="G11">
        <v>156.10617825581392</v>
      </c>
      <c r="H11">
        <f t="shared" si="0"/>
        <v>153.96655036124031</v>
      </c>
      <c r="I11">
        <v>251.656780677966</v>
      </c>
      <c r="J11">
        <v>253.58487425210086</v>
      </c>
      <c r="K11">
        <v>3.0553816051804999E-2</v>
      </c>
      <c r="M11">
        <v>65.449999999999989</v>
      </c>
      <c r="Q11" s="22"/>
      <c r="R11">
        <v>2007</v>
      </c>
      <c r="S11">
        <v>28.031640549999999</v>
      </c>
      <c r="T11">
        <v>11.092187890000002</v>
      </c>
      <c r="U11">
        <f t="shared" si="1"/>
        <v>19.561914219999998</v>
      </c>
      <c r="V11">
        <v>2007</v>
      </c>
      <c r="W11">
        <v>51.861753450000002</v>
      </c>
    </row>
    <row r="12" spans="1:23" x14ac:dyDescent="0.35">
      <c r="A12">
        <v>2008</v>
      </c>
      <c r="B12">
        <v>0.57750517899999998</v>
      </c>
      <c r="C12" s="11">
        <v>2.5415723574895699</v>
      </c>
      <c r="D12">
        <v>1619.4841386206901</v>
      </c>
      <c r="E12">
        <v>161.16617000413225</v>
      </c>
      <c r="F12">
        <v>141.94447431249995</v>
      </c>
      <c r="G12">
        <v>153.08614820253169</v>
      </c>
      <c r="H12">
        <f t="shared" si="0"/>
        <v>147.5153112575158</v>
      </c>
      <c r="I12">
        <v>253.135294735294</v>
      </c>
      <c r="J12">
        <v>254.99600000000001</v>
      </c>
      <c r="K12">
        <v>-3.05555391666667E-3</v>
      </c>
      <c r="M12">
        <v>74.774999999999991</v>
      </c>
      <c r="Q12" s="22"/>
      <c r="R12">
        <v>2008</v>
      </c>
      <c r="S12">
        <v>28.428125399999999</v>
      </c>
      <c r="T12">
        <v>12.303125400000001</v>
      </c>
      <c r="U12">
        <f t="shared" si="1"/>
        <v>20.365625399999999</v>
      </c>
      <c r="V12">
        <v>2008</v>
      </c>
      <c r="W12">
        <v>46.206542966666667</v>
      </c>
    </row>
    <row r="13" spans="1:23" x14ac:dyDescent="0.35">
      <c r="A13">
        <v>2009</v>
      </c>
      <c r="B13">
        <v>0.51837434625000001</v>
      </c>
      <c r="C13" s="11">
        <v>2.8229979348324901</v>
      </c>
      <c r="D13">
        <v>1812.0095458695657</v>
      </c>
      <c r="E13">
        <v>164.26593101049585</v>
      </c>
      <c r="F13">
        <v>138.51725570833332</v>
      </c>
      <c r="G13">
        <v>154.36995049999996</v>
      </c>
      <c r="H13">
        <f t="shared" si="0"/>
        <v>146.44360310416664</v>
      </c>
      <c r="I13">
        <v>267.63157894736901</v>
      </c>
      <c r="J13">
        <v>269.62531581012649</v>
      </c>
      <c r="K13">
        <v>1.97561005263415E-2</v>
      </c>
      <c r="M13">
        <v>75.424999999999997</v>
      </c>
      <c r="Q13" s="22"/>
      <c r="R13">
        <v>2009</v>
      </c>
      <c r="S13">
        <v>27.586328524999999</v>
      </c>
      <c r="T13">
        <v>11.357812774999999</v>
      </c>
      <c r="U13">
        <f t="shared" si="1"/>
        <v>19.472070649999999</v>
      </c>
      <c r="V13">
        <v>2009</v>
      </c>
      <c r="W13">
        <v>33.141238224999995</v>
      </c>
    </row>
    <row r="14" spans="1:23" x14ac:dyDescent="0.35">
      <c r="A14">
        <v>2010</v>
      </c>
      <c r="B14">
        <v>0.51474172625000003</v>
      </c>
      <c r="C14" s="11">
        <v>2.5129176762269698</v>
      </c>
      <c r="D14">
        <v>1811.1053606382982</v>
      </c>
      <c r="E14">
        <v>163.2229882652893</v>
      </c>
      <c r="F14">
        <v>137.32071374683542</v>
      </c>
      <c r="G14">
        <v>157.98421508641979</v>
      </c>
      <c r="H14">
        <f t="shared" si="0"/>
        <v>147.65246441662759</v>
      </c>
      <c r="I14">
        <v>260.80571484285701</v>
      </c>
      <c r="J14">
        <v>261.64871898717939</v>
      </c>
      <c r="K14">
        <v>0.13420454772954499</v>
      </c>
      <c r="M14">
        <v>70.174999999999997</v>
      </c>
      <c r="Q14" s="22"/>
      <c r="R14">
        <v>2010</v>
      </c>
      <c r="S14">
        <v>28.394921799999999</v>
      </c>
      <c r="T14">
        <v>11.699609649999999</v>
      </c>
      <c r="U14">
        <f t="shared" si="1"/>
        <v>20.047265724999999</v>
      </c>
      <c r="V14">
        <v>2010</v>
      </c>
      <c r="W14">
        <v>41.291081766666672</v>
      </c>
    </row>
    <row r="15" spans="1:23" x14ac:dyDescent="0.35">
      <c r="A15">
        <v>2011</v>
      </c>
      <c r="B15">
        <v>0.5858919695</v>
      </c>
      <c r="C15" s="11">
        <v>2.8029642422354999</v>
      </c>
      <c r="D15">
        <v>1826.5132825925932</v>
      </c>
      <c r="E15">
        <v>164.13674784098362</v>
      </c>
      <c r="F15">
        <v>136.43075362499997</v>
      </c>
      <c r="G15">
        <v>153.66066542857138</v>
      </c>
      <c r="H15">
        <f t="shared" si="0"/>
        <v>145.04570952678569</v>
      </c>
      <c r="I15">
        <v>260.41702012766001</v>
      </c>
      <c r="J15">
        <v>261.55151506060611</v>
      </c>
      <c r="K15">
        <v>8.0760871325434802E-2</v>
      </c>
      <c r="M15">
        <v>74.649999999999991</v>
      </c>
      <c r="Q15" s="22"/>
      <c r="R15">
        <v>2011</v>
      </c>
      <c r="S15">
        <v>26.578516024999999</v>
      </c>
      <c r="T15">
        <v>11.492578515000002</v>
      </c>
      <c r="U15">
        <f t="shared" si="1"/>
        <v>19.035547270000002</v>
      </c>
      <c r="V15">
        <v>2011</v>
      </c>
      <c r="W15">
        <v>37.752295833333335</v>
      </c>
    </row>
    <row r="16" spans="1:23" x14ac:dyDescent="0.35">
      <c r="A16">
        <v>2012</v>
      </c>
      <c r="B16">
        <v>0.55204366150000006</v>
      </c>
      <c r="C16" s="11">
        <v>3.0222812814250801</v>
      </c>
      <c r="D16">
        <v>1839.4221698387096</v>
      </c>
      <c r="E16">
        <v>162.50836909090904</v>
      </c>
      <c r="F16">
        <v>130.6975415622222</v>
      </c>
      <c r="G16">
        <v>156.24058263855423</v>
      </c>
      <c r="H16">
        <f t="shared" si="0"/>
        <v>143.46906210038821</v>
      </c>
      <c r="I16">
        <v>250.32499849999999</v>
      </c>
      <c r="J16">
        <v>252.06734638775504</v>
      </c>
      <c r="K16">
        <v>-0.12701923014269201</v>
      </c>
      <c r="M16">
        <v>80.8</v>
      </c>
      <c r="Q16" s="22"/>
      <c r="R16">
        <v>2012</v>
      </c>
      <c r="S16">
        <v>26.869531649999999</v>
      </c>
      <c r="T16">
        <v>10.766015895000001</v>
      </c>
      <c r="U16">
        <f t="shared" si="1"/>
        <v>18.817773772500001</v>
      </c>
      <c r="V16">
        <v>2012</v>
      </c>
      <c r="W16">
        <v>72.084634725000001</v>
      </c>
    </row>
    <row r="17" spans="1:23" x14ac:dyDescent="0.35">
      <c r="A17">
        <v>2013</v>
      </c>
      <c r="B17">
        <v>0.61751535525000001</v>
      </c>
      <c r="C17" s="11">
        <v>3.0788178753317599</v>
      </c>
      <c r="D17">
        <v>1836.5003840000002</v>
      </c>
      <c r="E17">
        <v>158.070779104959</v>
      </c>
      <c r="F17">
        <v>129.1455528691358</v>
      </c>
      <c r="G17">
        <v>153.04355720731709</v>
      </c>
      <c r="H17">
        <f t="shared" si="0"/>
        <v>141.09455503822645</v>
      </c>
      <c r="I17">
        <v>265.01516944943802</v>
      </c>
      <c r="J17">
        <v>267.57708248958323</v>
      </c>
      <c r="K17">
        <v>-4.3452383683333297E-2</v>
      </c>
      <c r="M17">
        <v>73.474999999999994</v>
      </c>
      <c r="Q17" s="22"/>
      <c r="R17">
        <v>2013</v>
      </c>
      <c r="S17">
        <v>25.992578524999999</v>
      </c>
      <c r="T17">
        <v>11.40273477</v>
      </c>
      <c r="U17">
        <f t="shared" si="1"/>
        <v>18.697656647500001</v>
      </c>
      <c r="V17">
        <v>2013</v>
      </c>
      <c r="W17">
        <v>44.692658733333332</v>
      </c>
    </row>
    <row r="18" spans="1:23" x14ac:dyDescent="0.35">
      <c r="A18">
        <v>2014</v>
      </c>
      <c r="B18">
        <v>0.63282545649999999</v>
      </c>
      <c r="C18" s="11">
        <v>2.7227337569705599</v>
      </c>
      <c r="D18">
        <v>1842.058018070175</v>
      </c>
      <c r="E18">
        <v>158.01451980330592</v>
      </c>
      <c r="F18">
        <v>135.28556073294112</v>
      </c>
      <c r="G18">
        <v>155.75660219512193</v>
      </c>
      <c r="H18">
        <f t="shared" si="0"/>
        <v>145.52108146403151</v>
      </c>
      <c r="I18">
        <v>267.58481084810097</v>
      </c>
      <c r="J18">
        <v>269.50113592045449</v>
      </c>
      <c r="K18">
        <v>-6.5151512430302996E-2</v>
      </c>
      <c r="M18">
        <v>82.8</v>
      </c>
      <c r="Q18" s="22"/>
      <c r="R18">
        <v>2014</v>
      </c>
      <c r="S18">
        <v>25.627344149999999</v>
      </c>
      <c r="T18">
        <v>11.252344140000002</v>
      </c>
      <c r="U18">
        <f t="shared" si="1"/>
        <v>18.439844145000002</v>
      </c>
      <c r="V18">
        <v>2014</v>
      </c>
      <c r="W18">
        <v>33.67700957142857</v>
      </c>
    </row>
    <row r="19" spans="1:23" x14ac:dyDescent="0.35">
      <c r="A19">
        <v>2015</v>
      </c>
      <c r="B19">
        <v>0.59307921650000006</v>
      </c>
      <c r="C19" s="11">
        <v>1.85099902356559</v>
      </c>
      <c r="D19">
        <v>1839.3299703448276</v>
      </c>
      <c r="E19">
        <v>153.22154862868857</v>
      </c>
      <c r="F19">
        <v>139.47209575280897</v>
      </c>
      <c r="G19">
        <v>157.28668695294121</v>
      </c>
      <c r="H19">
        <f t="shared" si="0"/>
        <v>148.37939135287507</v>
      </c>
      <c r="I19">
        <v>263.75749951249998</v>
      </c>
      <c r="J19">
        <v>264.95975697560971</v>
      </c>
      <c r="K19">
        <v>-3.1447368391315803E-2</v>
      </c>
      <c r="M19">
        <v>71.024999999999991</v>
      </c>
      <c r="Q19" s="22"/>
      <c r="R19">
        <v>2015</v>
      </c>
      <c r="S19">
        <v>29.133203049999999</v>
      </c>
      <c r="T19">
        <v>12.824609769999999</v>
      </c>
      <c r="U19">
        <f t="shared" si="1"/>
        <v>20.97890641</v>
      </c>
      <c r="V19">
        <v>2015</v>
      </c>
      <c r="W19">
        <v>35.394294700000003</v>
      </c>
    </row>
    <row r="20" spans="1:23" x14ac:dyDescent="0.35">
      <c r="A20">
        <v>2016</v>
      </c>
      <c r="B20">
        <v>0.59307921650000006</v>
      </c>
      <c r="C20" s="11">
        <v>2.4089953577997698</v>
      </c>
      <c r="D20">
        <v>1856.9709800000003</v>
      </c>
      <c r="E20">
        <v>159.81878072066115</v>
      </c>
      <c r="F20">
        <v>129.76872026506027</v>
      </c>
      <c r="G20">
        <v>156.28972534567907</v>
      </c>
      <c r="H20">
        <f t="shared" si="0"/>
        <v>143.02922280536967</v>
      </c>
      <c r="I20">
        <v>253.18420934210499</v>
      </c>
      <c r="J20">
        <v>255.08674713253009</v>
      </c>
      <c r="K20">
        <v>3.5238094116190402E-2</v>
      </c>
      <c r="M20">
        <v>89.3</v>
      </c>
      <c r="Q20" s="22"/>
      <c r="R20">
        <v>2016</v>
      </c>
      <c r="S20">
        <v>26.855859774999999</v>
      </c>
      <c r="T20">
        <v>11.916406650000001</v>
      </c>
      <c r="U20">
        <f t="shared" si="1"/>
        <v>19.386133212499999</v>
      </c>
      <c r="V20">
        <v>2016</v>
      </c>
      <c r="W20">
        <v>48.793515533333334</v>
      </c>
    </row>
    <row r="21" spans="1:23" x14ac:dyDescent="0.35">
      <c r="A21">
        <v>2017</v>
      </c>
      <c r="B21">
        <v>0.53950221825</v>
      </c>
      <c r="C21" s="11">
        <v>3.3723383252954302</v>
      </c>
      <c r="D21">
        <v>1852.3850786666671</v>
      </c>
      <c r="E21">
        <v>157.23753661322317</v>
      </c>
      <c r="F21">
        <v>128.16176316511621</v>
      </c>
      <c r="G21">
        <v>158.92061021176471</v>
      </c>
      <c r="H21">
        <f t="shared" si="0"/>
        <v>143.54118668844046</v>
      </c>
      <c r="I21">
        <v>267.71999720000002</v>
      </c>
      <c r="J21">
        <v>269.57674460465131</v>
      </c>
      <c r="K21">
        <v>-3.5937494612916697E-2</v>
      </c>
      <c r="M21">
        <v>68.025000000000006</v>
      </c>
      <c r="Q21" s="22"/>
      <c r="R21">
        <v>2017</v>
      </c>
      <c r="S21">
        <v>28.017969149999999</v>
      </c>
      <c r="T21">
        <v>11.510156524999999</v>
      </c>
      <c r="U21">
        <f t="shared" si="1"/>
        <v>19.764062837499999</v>
      </c>
      <c r="V21">
        <v>2017</v>
      </c>
      <c r="W21">
        <v>43.804989800000001</v>
      </c>
    </row>
    <row r="22" spans="1:23" x14ac:dyDescent="0.35">
      <c r="A22">
        <v>2018</v>
      </c>
      <c r="B22">
        <v>0.58930859724999995</v>
      </c>
      <c r="C22" s="11">
        <v>3.3811686345746299</v>
      </c>
      <c r="D22">
        <v>1853.0658307142858</v>
      </c>
      <c r="E22">
        <v>155.43726888429751</v>
      </c>
      <c r="F22">
        <v>119.23905484545453</v>
      </c>
      <c r="G22">
        <v>154.62794139024385</v>
      </c>
      <c r="H22">
        <f t="shared" si="0"/>
        <v>136.93349811784918</v>
      </c>
      <c r="I22">
        <v>245.08026382894701</v>
      </c>
      <c r="J22">
        <v>247.40823490588235</v>
      </c>
      <c r="K22">
        <v>2.6190482324047599E-2</v>
      </c>
      <c r="M22">
        <v>77.575000000000003</v>
      </c>
      <c r="Q22" s="22"/>
      <c r="R22">
        <v>2018</v>
      </c>
      <c r="S22">
        <v>27.617578524999999</v>
      </c>
      <c r="T22">
        <v>11.396875390000002</v>
      </c>
      <c r="U22">
        <f t="shared" si="1"/>
        <v>19.507226957500002</v>
      </c>
      <c r="V22">
        <v>2018</v>
      </c>
      <c r="W22">
        <v>31.893091833333333</v>
      </c>
    </row>
    <row r="23" spans="1:23" x14ac:dyDescent="0.35">
      <c r="A23">
        <v>2019</v>
      </c>
      <c r="B23">
        <v>0.66482733199999999</v>
      </c>
      <c r="C23" s="11">
        <v>3.4959766865295099</v>
      </c>
      <c r="D23">
        <v>1870.7064327868859</v>
      </c>
      <c r="E23">
        <v>154.53602874098368</v>
      </c>
      <c r="F23">
        <v>127.88414991318677</v>
      </c>
      <c r="G23">
        <v>152.69943524137932</v>
      </c>
      <c r="H23">
        <f t="shared" si="0"/>
        <v>140.29179257728305</v>
      </c>
      <c r="I23">
        <v>272.01605145679002</v>
      </c>
      <c r="J23">
        <v>274.63068130681819</v>
      </c>
      <c r="K23">
        <v>0.106774190447419</v>
      </c>
      <c r="M23">
        <v>71.550000000000011</v>
      </c>
      <c r="Q23" s="22"/>
      <c r="R23">
        <v>2019</v>
      </c>
      <c r="S23">
        <v>25.863672274999999</v>
      </c>
      <c r="T23">
        <v>12.103906649999999</v>
      </c>
      <c r="U23">
        <f t="shared" si="1"/>
        <v>18.983789462499999</v>
      </c>
      <c r="V23">
        <v>2019</v>
      </c>
      <c r="W23">
        <v>45.208052649999999</v>
      </c>
    </row>
    <row r="24" spans="1:23" x14ac:dyDescent="0.35">
      <c r="A24">
        <v>2020</v>
      </c>
      <c r="B24">
        <v>0.52891188099999997</v>
      </c>
      <c r="C24" s="11">
        <v>3.29977036376135</v>
      </c>
      <c r="D24">
        <v>1870.1973290909089</v>
      </c>
      <c r="E24">
        <v>155.71912839173552</v>
      </c>
      <c r="F24">
        <v>122.43357820714284</v>
      </c>
      <c r="G24">
        <v>158.797775</v>
      </c>
      <c r="H24">
        <f t="shared" si="0"/>
        <v>140.61567660357142</v>
      </c>
      <c r="I24">
        <v>265.50519472727302</v>
      </c>
      <c r="J24">
        <v>267.26071510714291</v>
      </c>
      <c r="K24">
        <v>0.133953486195349</v>
      </c>
      <c r="M24">
        <v>69.174999999999997</v>
      </c>
      <c r="Q24" s="22"/>
      <c r="R24">
        <v>2020</v>
      </c>
      <c r="S24">
        <v>27.797266024999999</v>
      </c>
      <c r="T24">
        <v>11.725000395</v>
      </c>
      <c r="U24">
        <f t="shared" si="1"/>
        <v>19.761133210000001</v>
      </c>
      <c r="V24">
        <v>2020</v>
      </c>
      <c r="W24">
        <v>53.634994500000005</v>
      </c>
    </row>
    <row r="25" spans="1:23" x14ac:dyDescent="0.35">
      <c r="Q25" s="22"/>
    </row>
  </sheetData>
  <mergeCells count="5">
    <mergeCell ref="A1:N1"/>
    <mergeCell ref="Q1:Q25"/>
    <mergeCell ref="R1:T1"/>
    <mergeCell ref="R2:T2"/>
    <mergeCell ref="V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736E-098D-4E89-B5F7-FAF914B11173}">
  <dimension ref="A1:X25"/>
  <sheetViews>
    <sheetView topLeftCell="A8" workbookViewId="0">
      <selection activeCell="V7" sqref="V7:V24"/>
    </sheetView>
  </sheetViews>
  <sheetFormatPr defaultRowHeight="14.5" x14ac:dyDescent="0.35"/>
  <cols>
    <col min="18" max="18" width="8.54296875" customWidth="1"/>
  </cols>
  <sheetData>
    <row r="1" spans="1:24" ht="16" x14ac:dyDescent="0.4">
      <c r="A1" s="21" t="s">
        <v>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2" t="s">
        <v>13</v>
      </c>
      <c r="S1" s="23" t="s">
        <v>5</v>
      </c>
      <c r="T1" s="23"/>
      <c r="U1" s="23"/>
      <c r="V1" s="14"/>
      <c r="W1" s="3" t="s">
        <v>11</v>
      </c>
      <c r="X1" s="3"/>
    </row>
    <row r="2" spans="1:24" x14ac:dyDescent="0.35">
      <c r="A2" s="12"/>
      <c r="B2" s="12"/>
      <c r="C2" s="12"/>
      <c r="D2" s="12" t="s">
        <v>17</v>
      </c>
      <c r="E2" s="12" t="s">
        <v>17</v>
      </c>
      <c r="F2" s="16" t="s">
        <v>109</v>
      </c>
      <c r="G2" s="12" t="s">
        <v>96</v>
      </c>
      <c r="H2" s="12" t="s">
        <v>86</v>
      </c>
      <c r="I2" s="16" t="s">
        <v>90</v>
      </c>
      <c r="J2" s="12" t="s">
        <v>87</v>
      </c>
      <c r="K2" s="12" t="s">
        <v>19</v>
      </c>
      <c r="L2" s="12" t="s">
        <v>87</v>
      </c>
      <c r="M2" s="12" t="s">
        <v>17</v>
      </c>
      <c r="N2" s="12" t="s">
        <v>45</v>
      </c>
      <c r="O2" s="12"/>
      <c r="R2" s="22"/>
      <c r="S2" s="24" t="s">
        <v>99</v>
      </c>
      <c r="T2" s="24"/>
      <c r="U2" s="24"/>
      <c r="V2" s="15" t="s">
        <v>113</v>
      </c>
      <c r="W2" s="24" t="s">
        <v>12</v>
      </c>
      <c r="X2" s="24"/>
    </row>
    <row r="3" spans="1:24" x14ac:dyDescent="0.35">
      <c r="A3" s="12" t="s">
        <v>0</v>
      </c>
      <c r="B3" s="12" t="s">
        <v>21</v>
      </c>
      <c r="C3" s="12" t="s">
        <v>14</v>
      </c>
      <c r="D3" s="12" t="s">
        <v>23</v>
      </c>
      <c r="E3" s="12" t="s">
        <v>24</v>
      </c>
      <c r="F3" s="16" t="s">
        <v>110</v>
      </c>
      <c r="G3" s="12" t="s">
        <v>89</v>
      </c>
      <c r="H3" s="12" t="s">
        <v>90</v>
      </c>
      <c r="I3" s="16" t="s">
        <v>111</v>
      </c>
      <c r="J3" s="12" t="s">
        <v>26</v>
      </c>
      <c r="K3" s="12" t="s">
        <v>78</v>
      </c>
      <c r="L3" s="12" t="s">
        <v>91</v>
      </c>
      <c r="M3" s="12" t="s">
        <v>97</v>
      </c>
      <c r="N3" s="12" t="s">
        <v>98</v>
      </c>
      <c r="O3" s="12"/>
      <c r="R3" s="22"/>
      <c r="S3" t="s">
        <v>2</v>
      </c>
      <c r="T3" t="s">
        <v>3</v>
      </c>
      <c r="U3" t="s">
        <v>4</v>
      </c>
      <c r="V3" t="s">
        <v>114</v>
      </c>
      <c r="W3" t="s">
        <v>8</v>
      </c>
      <c r="X3" t="s">
        <v>94</v>
      </c>
    </row>
    <row r="4" spans="1:24" x14ac:dyDescent="0.35">
      <c r="A4">
        <v>2000</v>
      </c>
      <c r="B4">
        <v>0.41074674575000003</v>
      </c>
      <c r="C4">
        <v>1.1443020903573837</v>
      </c>
      <c r="J4">
        <v>31.424999999999997</v>
      </c>
      <c r="K4">
        <v>179.42395400000001</v>
      </c>
      <c r="L4">
        <v>9.9828487799999994</v>
      </c>
      <c r="M4">
        <v>117.31151200000001</v>
      </c>
      <c r="N4">
        <v>271.02511575000005</v>
      </c>
      <c r="R4" s="22"/>
      <c r="S4">
        <v>2000</v>
      </c>
      <c r="W4">
        <v>2000</v>
      </c>
      <c r="X4">
        <v>38.612593650000001</v>
      </c>
    </row>
    <row r="5" spans="1:24" x14ac:dyDescent="0.35">
      <c r="A5">
        <v>2001</v>
      </c>
      <c r="B5">
        <v>0.38466909524999998</v>
      </c>
      <c r="C5">
        <v>1.4017223910840932</v>
      </c>
      <c r="J5">
        <v>31.024999999999999</v>
      </c>
      <c r="K5">
        <v>174.15000925000001</v>
      </c>
      <c r="L5">
        <v>12.51595713</v>
      </c>
      <c r="M5">
        <v>120.635499725</v>
      </c>
      <c r="N5">
        <v>274.98933425000001</v>
      </c>
      <c r="R5" s="22"/>
      <c r="S5">
        <v>2001</v>
      </c>
      <c r="W5">
        <v>2001</v>
      </c>
      <c r="X5">
        <v>34.464214800000001</v>
      </c>
    </row>
    <row r="6" spans="1:24" x14ac:dyDescent="0.35">
      <c r="A6">
        <v>2002</v>
      </c>
      <c r="B6">
        <v>0.52888971549999997</v>
      </c>
      <c r="C6">
        <v>1.5990338164251208</v>
      </c>
      <c r="D6">
        <v>1849.7812549999999</v>
      </c>
      <c r="E6">
        <v>1887.383405</v>
      </c>
      <c r="F6">
        <f>AVERAGE(E6,D6)</f>
        <v>1868.58233</v>
      </c>
      <c r="J6">
        <v>38.050000000000004</v>
      </c>
      <c r="K6">
        <v>194.34869349999997</v>
      </c>
      <c r="L6">
        <v>11.0776205</v>
      </c>
      <c r="M6">
        <v>116.298118575</v>
      </c>
      <c r="N6">
        <v>270.91996749999998</v>
      </c>
      <c r="R6" s="22"/>
      <c r="S6">
        <v>2002</v>
      </c>
      <c r="W6">
        <v>2002</v>
      </c>
      <c r="X6">
        <v>34.464214800000001</v>
      </c>
    </row>
    <row r="7" spans="1:24" x14ac:dyDescent="0.35">
      <c r="A7">
        <v>2003</v>
      </c>
      <c r="B7">
        <v>0.45900769525000001</v>
      </c>
      <c r="C7">
        <v>1.4931277237680187</v>
      </c>
      <c r="D7">
        <v>1853.914</v>
      </c>
      <c r="E7">
        <v>1843.02917</v>
      </c>
      <c r="F7">
        <f t="shared" ref="F7:F24" si="0">AVERAGE(E7,D7)</f>
        <v>1848.471585</v>
      </c>
      <c r="G7">
        <v>291.56056999999998</v>
      </c>
      <c r="H7" s="13">
        <v>273.10366075000002</v>
      </c>
      <c r="I7" s="13">
        <f>AVERAGE(G7,H7)</f>
        <v>282.332115375</v>
      </c>
      <c r="J7">
        <v>31.674999999999997</v>
      </c>
      <c r="K7">
        <v>174.78575524999999</v>
      </c>
      <c r="L7">
        <v>11.858623</v>
      </c>
      <c r="M7">
        <v>123.792880975</v>
      </c>
      <c r="N7">
        <v>276.03406524999997</v>
      </c>
      <c r="R7" s="22"/>
      <c r="S7">
        <v>2003</v>
      </c>
      <c r="T7">
        <v>34.627343199999999</v>
      </c>
      <c r="U7">
        <v>25.726953524999999</v>
      </c>
      <c r="V7">
        <f>AVERAGE(T7:U7)</f>
        <v>30.177148362499999</v>
      </c>
      <c r="W7">
        <v>2003</v>
      </c>
      <c r="X7">
        <v>39.713649000000004</v>
      </c>
    </row>
    <row r="8" spans="1:24" x14ac:dyDescent="0.35">
      <c r="A8">
        <v>2004</v>
      </c>
      <c r="B8">
        <v>0.47417744250000005</v>
      </c>
      <c r="C8">
        <v>1.8508713136729222</v>
      </c>
      <c r="D8">
        <v>1835.3457550000001</v>
      </c>
      <c r="E8">
        <v>1822.9475199999999</v>
      </c>
      <c r="F8">
        <f t="shared" si="0"/>
        <v>1829.1466375</v>
      </c>
      <c r="G8">
        <v>293.16445150000004</v>
      </c>
      <c r="H8" s="13">
        <v>275.83308400000004</v>
      </c>
      <c r="I8" s="13">
        <f t="shared" ref="I8:I24" si="1">AVERAGE(G8,H8)</f>
        <v>284.49876775000007</v>
      </c>
      <c r="J8">
        <v>35.700000000000003</v>
      </c>
      <c r="K8">
        <v>187.71254349999998</v>
      </c>
      <c r="L8">
        <v>10.121972132500002</v>
      </c>
      <c r="M8">
        <v>114.44081299999999</v>
      </c>
      <c r="N8">
        <v>274.52568799999995</v>
      </c>
      <c r="R8" s="22"/>
      <c r="S8">
        <v>2004</v>
      </c>
      <c r="T8">
        <v>34.123436474999998</v>
      </c>
      <c r="U8">
        <v>25.031641024999999</v>
      </c>
      <c r="V8">
        <f t="shared" ref="V8:V23" si="2">AVERAGE(T8:U8)</f>
        <v>29.577538749999999</v>
      </c>
      <c r="W8">
        <v>2004</v>
      </c>
      <c r="X8">
        <v>44.578769699999995</v>
      </c>
    </row>
    <row r="9" spans="1:24" x14ac:dyDescent="0.35">
      <c r="A9">
        <v>2005</v>
      </c>
      <c r="B9">
        <v>0.44095844024999997</v>
      </c>
      <c r="C9">
        <v>1.6880552813425469</v>
      </c>
      <c r="D9">
        <v>1846.347</v>
      </c>
      <c r="E9">
        <v>1885.92821</v>
      </c>
      <c r="F9">
        <f t="shared" si="0"/>
        <v>1866.1376049999999</v>
      </c>
      <c r="G9">
        <v>284.13355250000001</v>
      </c>
      <c r="H9" s="13">
        <v>269.1407395</v>
      </c>
      <c r="I9" s="13">
        <f t="shared" si="1"/>
        <v>276.63714600000003</v>
      </c>
      <c r="J9">
        <v>34.274999999999999</v>
      </c>
      <c r="K9">
        <v>189.86554699999999</v>
      </c>
      <c r="L9">
        <v>11.566987794999999</v>
      </c>
      <c r="M9">
        <v>115.48906507500001</v>
      </c>
      <c r="N9">
        <v>270.53199000000001</v>
      </c>
      <c r="R9" s="22"/>
      <c r="S9">
        <v>2005</v>
      </c>
      <c r="T9">
        <v>35.910545849999998</v>
      </c>
      <c r="U9">
        <v>24.197656649999999</v>
      </c>
      <c r="V9">
        <f t="shared" si="2"/>
        <v>30.054101249999999</v>
      </c>
      <c r="W9">
        <v>2005</v>
      </c>
      <c r="X9">
        <v>38.454061520000003</v>
      </c>
    </row>
    <row r="10" spans="1:24" x14ac:dyDescent="0.35">
      <c r="A10">
        <v>2006</v>
      </c>
      <c r="B10">
        <v>0.36566340200000003</v>
      </c>
      <c r="C10">
        <v>1.4610740387670798</v>
      </c>
      <c r="D10">
        <v>1847.0454999999999</v>
      </c>
      <c r="E10">
        <v>1844.95002</v>
      </c>
      <c r="F10">
        <f t="shared" si="0"/>
        <v>1845.99776</v>
      </c>
      <c r="G10">
        <v>297.42472075000001</v>
      </c>
      <c r="H10" s="13">
        <v>278.77254474999995</v>
      </c>
      <c r="I10" s="13">
        <f t="shared" si="1"/>
        <v>288.09863274999998</v>
      </c>
      <c r="J10">
        <v>27.15</v>
      </c>
      <c r="K10">
        <v>185.36115649999999</v>
      </c>
      <c r="L10">
        <v>10.1659962625</v>
      </c>
      <c r="M10">
        <v>116.92052275</v>
      </c>
      <c r="N10">
        <v>276.14620200000002</v>
      </c>
      <c r="R10" s="22"/>
      <c r="S10">
        <v>2006</v>
      </c>
      <c r="T10">
        <v>34.744530699999999</v>
      </c>
      <c r="U10">
        <v>25.142969149999999</v>
      </c>
      <c r="V10">
        <f t="shared" si="2"/>
        <v>29.943749924999999</v>
      </c>
      <c r="W10">
        <v>2006</v>
      </c>
      <c r="X10">
        <v>38.386680599999998</v>
      </c>
    </row>
    <row r="11" spans="1:24" x14ac:dyDescent="0.35">
      <c r="A11">
        <v>2007</v>
      </c>
      <c r="B11">
        <v>0.45673486600000002</v>
      </c>
      <c r="C11">
        <v>1.3209698715640379</v>
      </c>
      <c r="D11">
        <v>1847.51116</v>
      </c>
      <c r="E11">
        <v>1856.82438</v>
      </c>
      <c r="F11">
        <f t="shared" si="0"/>
        <v>1852.16777</v>
      </c>
      <c r="G11">
        <v>282.93843099999998</v>
      </c>
      <c r="H11" s="13">
        <v>270.10876450000001</v>
      </c>
      <c r="I11" s="13">
        <f t="shared" si="1"/>
        <v>276.52359775000002</v>
      </c>
      <c r="J11">
        <v>27.7</v>
      </c>
      <c r="K11">
        <v>181.81490725</v>
      </c>
      <c r="L11">
        <v>12.846006899999999</v>
      </c>
      <c r="M11">
        <v>118.04140465</v>
      </c>
      <c r="N11">
        <v>270.69593800000001</v>
      </c>
      <c r="R11" s="22"/>
      <c r="S11">
        <v>2007</v>
      </c>
      <c r="T11">
        <v>35.451561474999998</v>
      </c>
      <c r="U11">
        <v>25.051172274999999</v>
      </c>
      <c r="V11">
        <f t="shared" si="2"/>
        <v>30.251366874999999</v>
      </c>
      <c r="W11">
        <v>2007</v>
      </c>
      <c r="X11">
        <v>51.861753450000002</v>
      </c>
    </row>
    <row r="12" spans="1:24" x14ac:dyDescent="0.35">
      <c r="A12">
        <v>2008</v>
      </c>
      <c r="B12">
        <v>0.47791441525</v>
      </c>
      <c r="C12">
        <v>1.4052264808362369</v>
      </c>
      <c r="D12">
        <v>1857.0572099999999</v>
      </c>
      <c r="E12">
        <v>1846.46342</v>
      </c>
      <c r="F12">
        <f t="shared" si="0"/>
        <v>1851.760315</v>
      </c>
      <c r="G12">
        <v>286.14513399999998</v>
      </c>
      <c r="H12" s="13">
        <v>269.51159674999997</v>
      </c>
      <c r="I12" s="13">
        <f t="shared" si="1"/>
        <v>277.82836537499998</v>
      </c>
      <c r="J12">
        <v>39.6</v>
      </c>
      <c r="K12">
        <v>172.10559074999998</v>
      </c>
      <c r="L12">
        <v>15.094171049999998</v>
      </c>
      <c r="M12">
        <v>121.075571</v>
      </c>
      <c r="N12">
        <v>272.05547324999998</v>
      </c>
      <c r="R12" s="22"/>
      <c r="S12">
        <v>2008</v>
      </c>
      <c r="T12">
        <v>31.183983824999999</v>
      </c>
      <c r="U12">
        <v>23.881250399999999</v>
      </c>
      <c r="V12">
        <f t="shared" si="2"/>
        <v>27.532617112499999</v>
      </c>
      <c r="W12">
        <v>2008</v>
      </c>
      <c r="X12">
        <v>46.206542966666667</v>
      </c>
    </row>
    <row r="13" spans="1:24" x14ac:dyDescent="0.35">
      <c r="A13">
        <v>2009</v>
      </c>
      <c r="B13">
        <v>0.49782451250000004</v>
      </c>
      <c r="C13">
        <v>1.3211045364891518</v>
      </c>
      <c r="D13">
        <v>1886.97595</v>
      </c>
      <c r="E13">
        <v>1837.9650999999999</v>
      </c>
      <c r="F13">
        <f t="shared" si="0"/>
        <v>1862.470525</v>
      </c>
      <c r="G13">
        <v>291.32508874999996</v>
      </c>
      <c r="H13" s="13">
        <v>275.95579550000002</v>
      </c>
      <c r="I13" s="13">
        <f t="shared" si="1"/>
        <v>283.64044212499999</v>
      </c>
      <c r="J13">
        <v>33.824999999999996</v>
      </c>
      <c r="K13">
        <v>201.44989375</v>
      </c>
      <c r="L13">
        <v>13.007021247499999</v>
      </c>
      <c r="M13">
        <v>124.38270575</v>
      </c>
      <c r="N13">
        <v>273.44997375000003</v>
      </c>
      <c r="R13" s="22"/>
      <c r="S13">
        <v>2009</v>
      </c>
      <c r="T13">
        <v>37.371482874999998</v>
      </c>
      <c r="U13">
        <v>25.685937899999999</v>
      </c>
      <c r="V13">
        <f t="shared" si="2"/>
        <v>31.528710387499999</v>
      </c>
      <c r="W13">
        <v>2009</v>
      </c>
      <c r="X13">
        <v>33.141238224999995</v>
      </c>
    </row>
    <row r="14" spans="1:24" x14ac:dyDescent="0.35">
      <c r="A14">
        <v>2010</v>
      </c>
      <c r="B14">
        <v>0.47926267225000002</v>
      </c>
      <c r="C14">
        <v>1.4618867924528303</v>
      </c>
      <c r="D14">
        <v>1887.2669900000001</v>
      </c>
      <c r="E14">
        <v>1863.6928849999999</v>
      </c>
      <c r="F14">
        <f t="shared" si="0"/>
        <v>1875.4799375</v>
      </c>
      <c r="G14">
        <v>291.58748624999998</v>
      </c>
      <c r="H14" s="13">
        <v>275.76265724999996</v>
      </c>
      <c r="I14" s="13">
        <f t="shared" si="1"/>
        <v>283.67507174999997</v>
      </c>
      <c r="J14">
        <v>30.400000000000002</v>
      </c>
      <c r="K14">
        <v>186.21803274999999</v>
      </c>
      <c r="L14">
        <v>13.028439250000002</v>
      </c>
      <c r="M14">
        <v>123.21805000000001</v>
      </c>
      <c r="N14">
        <v>273.753311</v>
      </c>
      <c r="R14" s="22"/>
      <c r="S14">
        <v>2010</v>
      </c>
      <c r="T14">
        <v>36.777733349999998</v>
      </c>
      <c r="U14">
        <v>25.873437899999999</v>
      </c>
      <c r="V14">
        <f t="shared" si="2"/>
        <v>31.325585624999999</v>
      </c>
      <c r="W14">
        <v>2010</v>
      </c>
      <c r="X14">
        <v>41.291081766666672</v>
      </c>
    </row>
    <row r="15" spans="1:24" x14ac:dyDescent="0.35">
      <c r="A15">
        <v>2011</v>
      </c>
      <c r="B15">
        <v>0.44377972199999999</v>
      </c>
      <c r="C15">
        <v>1.4699260212286909</v>
      </c>
      <c r="D15">
        <v>1866.13761</v>
      </c>
      <c r="E15">
        <v>1864.8570400000001</v>
      </c>
      <c r="F15">
        <f t="shared" si="0"/>
        <v>1865.497325</v>
      </c>
      <c r="G15">
        <v>281.98043799999999</v>
      </c>
      <c r="H15" s="13">
        <v>267.44187925000006</v>
      </c>
      <c r="I15" s="13">
        <f t="shared" si="1"/>
        <v>274.71115862500005</v>
      </c>
      <c r="J15">
        <v>32.35</v>
      </c>
      <c r="K15">
        <v>180.65787524999999</v>
      </c>
      <c r="L15">
        <v>17.155839874999998</v>
      </c>
      <c r="M15">
        <v>126.087637</v>
      </c>
      <c r="N15">
        <v>269.78974900000003</v>
      </c>
      <c r="R15" s="22"/>
      <c r="S15">
        <v>2011</v>
      </c>
      <c r="T15">
        <v>32.502343199999999</v>
      </c>
      <c r="U15">
        <v>24.906641024999999</v>
      </c>
      <c r="V15">
        <f t="shared" si="2"/>
        <v>28.704492112499999</v>
      </c>
      <c r="W15">
        <v>2011</v>
      </c>
      <c r="X15">
        <v>37.752295833333335</v>
      </c>
    </row>
    <row r="16" spans="1:24" x14ac:dyDescent="0.35">
      <c r="A16">
        <v>2012</v>
      </c>
      <c r="B16">
        <v>0.51195248225000001</v>
      </c>
      <c r="C16">
        <v>1.4579380139152436</v>
      </c>
      <c r="D16">
        <v>1885.346135</v>
      </c>
      <c r="E16">
        <v>1878.0119749999999</v>
      </c>
      <c r="F16">
        <f t="shared" si="0"/>
        <v>1881.6790550000001</v>
      </c>
      <c r="G16">
        <v>290.84616849999998</v>
      </c>
      <c r="H16" s="13">
        <v>272.42966449999994</v>
      </c>
      <c r="I16" s="13">
        <f t="shared" si="1"/>
        <v>281.63791649999996</v>
      </c>
      <c r="J16">
        <v>36.975000000000001</v>
      </c>
      <c r="K16">
        <v>196.61897275000001</v>
      </c>
      <c r="L16">
        <v>15.051789600000001</v>
      </c>
      <c r="M16">
        <v>117.15312374999999</v>
      </c>
      <c r="N16">
        <v>273.72309099999995</v>
      </c>
      <c r="R16" s="22"/>
      <c r="S16">
        <v>2012</v>
      </c>
      <c r="T16">
        <v>35.732811949999999</v>
      </c>
      <c r="U16">
        <v>25.162500399999999</v>
      </c>
      <c r="V16">
        <f t="shared" si="2"/>
        <v>30.447656174999999</v>
      </c>
      <c r="W16">
        <v>2012</v>
      </c>
      <c r="X16">
        <v>72.084634725000001</v>
      </c>
    </row>
    <row r="17" spans="1:24" x14ac:dyDescent="0.35">
      <c r="A17">
        <v>2013</v>
      </c>
      <c r="B17">
        <v>0.44116716825000002</v>
      </c>
      <c r="C17">
        <v>1.7805555555555554</v>
      </c>
      <c r="D17">
        <v>1869.1644100000001</v>
      </c>
      <c r="E17">
        <v>1869.2808199999999</v>
      </c>
      <c r="F17">
        <f t="shared" si="0"/>
        <v>1869.2226150000001</v>
      </c>
      <c r="G17">
        <v>292.31994624999999</v>
      </c>
      <c r="H17" s="13">
        <v>273.61470024999994</v>
      </c>
      <c r="I17" s="13">
        <f t="shared" si="1"/>
        <v>282.96732324999994</v>
      </c>
      <c r="J17">
        <v>27.9</v>
      </c>
      <c r="K17">
        <v>197.52439874999999</v>
      </c>
      <c r="L17">
        <v>13.284238825000001</v>
      </c>
      <c r="M17">
        <v>121.24503350000001</v>
      </c>
      <c r="N17">
        <v>275.26235974999997</v>
      </c>
      <c r="R17" s="22"/>
      <c r="S17">
        <v>2013</v>
      </c>
      <c r="T17">
        <v>32.424218199999999</v>
      </c>
      <c r="U17">
        <v>24.848047274999999</v>
      </c>
      <c r="V17">
        <f t="shared" si="2"/>
        <v>28.636132737499999</v>
      </c>
      <c r="W17">
        <v>2013</v>
      </c>
      <c r="X17">
        <v>44.692658733333332</v>
      </c>
    </row>
    <row r="18" spans="1:24" x14ac:dyDescent="0.35">
      <c r="A18">
        <v>2014</v>
      </c>
      <c r="B18">
        <v>0.49988453100000002</v>
      </c>
      <c r="C18">
        <v>1.6868547832071576</v>
      </c>
      <c r="D18">
        <v>1867.88384</v>
      </c>
      <c r="E18">
        <v>1842.56351</v>
      </c>
      <c r="F18">
        <f t="shared" si="0"/>
        <v>1855.223675</v>
      </c>
      <c r="G18">
        <v>290.32511899999997</v>
      </c>
      <c r="H18" s="13">
        <v>273.56718424999997</v>
      </c>
      <c r="I18" s="13">
        <f t="shared" si="1"/>
        <v>281.94615162499997</v>
      </c>
      <c r="J18">
        <v>36.950000000000003</v>
      </c>
      <c r="K18">
        <v>196.16801074999998</v>
      </c>
      <c r="L18">
        <v>14.150009825</v>
      </c>
      <c r="M18">
        <v>113.82241599999999</v>
      </c>
      <c r="N18">
        <v>274.77004250000005</v>
      </c>
      <c r="R18" s="22"/>
      <c r="S18">
        <v>2014</v>
      </c>
      <c r="T18">
        <v>36.346092249999998</v>
      </c>
      <c r="U18">
        <v>23.808984774999999</v>
      </c>
      <c r="V18">
        <f t="shared" si="2"/>
        <v>30.077538512499999</v>
      </c>
      <c r="W18">
        <v>2014</v>
      </c>
      <c r="X18">
        <v>33.67700957142857</v>
      </c>
    </row>
    <row r="19" spans="1:24" x14ac:dyDescent="0.35">
      <c r="A19">
        <v>2015</v>
      </c>
      <c r="B19">
        <v>0.46861051774999996</v>
      </c>
      <c r="C19">
        <v>1.5929774274453601</v>
      </c>
      <c r="D19">
        <v>1859.6183550000001</v>
      </c>
      <c r="E19">
        <v>1880.45669</v>
      </c>
      <c r="F19">
        <f t="shared" si="0"/>
        <v>1870.0375225</v>
      </c>
      <c r="G19">
        <v>298.82713324999997</v>
      </c>
      <c r="H19" s="13">
        <v>279.61946849999998</v>
      </c>
      <c r="I19" s="13">
        <f t="shared" si="1"/>
        <v>289.22330087499995</v>
      </c>
      <c r="J19">
        <v>36.300000000000004</v>
      </c>
      <c r="K19">
        <v>200.89193724999998</v>
      </c>
      <c r="L19">
        <v>12.52515445</v>
      </c>
      <c r="M19">
        <v>114.97293875</v>
      </c>
      <c r="N19">
        <v>281.67274499999996</v>
      </c>
      <c r="R19" s="22"/>
      <c r="S19">
        <v>2015</v>
      </c>
      <c r="T19">
        <v>35.996482874999998</v>
      </c>
      <c r="U19">
        <v>25.408594149999999</v>
      </c>
      <c r="V19">
        <f t="shared" si="2"/>
        <v>30.702538512499999</v>
      </c>
      <c r="W19">
        <v>2015</v>
      </c>
      <c r="X19">
        <v>35.394294700000003</v>
      </c>
    </row>
    <row r="20" spans="1:24" x14ac:dyDescent="0.35">
      <c r="A20">
        <v>2016</v>
      </c>
      <c r="B20">
        <v>0.44650777424999999</v>
      </c>
      <c r="C20">
        <v>1.5361081465670581</v>
      </c>
      <c r="D20">
        <v>1914.56638</v>
      </c>
      <c r="E20">
        <v>1870.79422</v>
      </c>
      <c r="F20">
        <f t="shared" si="0"/>
        <v>1892.6803</v>
      </c>
      <c r="G20">
        <v>280.39685049999997</v>
      </c>
      <c r="H20" s="13">
        <v>262.54793549999999</v>
      </c>
      <c r="I20" s="13">
        <f t="shared" si="1"/>
        <v>271.47239300000001</v>
      </c>
      <c r="J20">
        <v>30.925000000000004</v>
      </c>
      <c r="K20">
        <v>176.61283850000001</v>
      </c>
      <c r="L20">
        <v>15.650563950000002</v>
      </c>
      <c r="M20">
        <v>124.62750225000001</v>
      </c>
      <c r="N20">
        <v>270.45656574999998</v>
      </c>
      <c r="R20" s="22"/>
      <c r="S20">
        <v>2016</v>
      </c>
      <c r="T20">
        <v>33.891015074999999</v>
      </c>
      <c r="U20">
        <v>25.144922274999999</v>
      </c>
      <c r="V20">
        <f t="shared" si="2"/>
        <v>29.517968674999999</v>
      </c>
      <c r="W20">
        <v>2016</v>
      </c>
      <c r="X20">
        <v>48.793515533333334</v>
      </c>
    </row>
    <row r="21" spans="1:24" x14ac:dyDescent="0.35">
      <c r="A21">
        <v>2017</v>
      </c>
      <c r="B21">
        <v>0.47665985675</v>
      </c>
      <c r="C21">
        <v>1.7529290144727774</v>
      </c>
      <c r="D21">
        <v>1878.1283900000001</v>
      </c>
      <c r="E21">
        <v>1895.24144</v>
      </c>
      <c r="F21">
        <f t="shared" si="0"/>
        <v>1886.684915</v>
      </c>
      <c r="G21">
        <v>280.90633400000002</v>
      </c>
      <c r="H21" s="13">
        <v>265.13363625</v>
      </c>
      <c r="I21" s="13">
        <f t="shared" si="1"/>
        <v>273.01998512500001</v>
      </c>
      <c r="J21">
        <v>39.65</v>
      </c>
      <c r="K21">
        <v>179.60582749999998</v>
      </c>
      <c r="L21">
        <v>15.160327225000001</v>
      </c>
      <c r="M21">
        <v>118.52998925</v>
      </c>
      <c r="N21">
        <v>272.28251650000004</v>
      </c>
      <c r="R21" s="22"/>
      <c r="S21">
        <v>2017</v>
      </c>
      <c r="T21">
        <v>34.066796324999999</v>
      </c>
      <c r="U21">
        <v>25.187891024999999</v>
      </c>
      <c r="V21">
        <f t="shared" si="2"/>
        <v>29.627343674999999</v>
      </c>
      <c r="W21">
        <v>2017</v>
      </c>
      <c r="X21">
        <v>43.804989800000001</v>
      </c>
    </row>
    <row r="22" spans="1:24" x14ac:dyDescent="0.35">
      <c r="A22">
        <v>2018</v>
      </c>
      <c r="B22">
        <v>0.45260901750000004</v>
      </c>
      <c r="C22">
        <v>1.774060020696792</v>
      </c>
      <c r="D22">
        <v>1896.056345</v>
      </c>
      <c r="E22">
        <v>1905.7188200000001</v>
      </c>
      <c r="F22">
        <f t="shared" si="0"/>
        <v>1900.8875825</v>
      </c>
      <c r="G22">
        <v>286.66571799999997</v>
      </c>
      <c r="H22" s="13">
        <v>271.46625525000002</v>
      </c>
      <c r="I22" s="13">
        <f t="shared" si="1"/>
        <v>279.06598662499999</v>
      </c>
      <c r="J22">
        <v>39.025000000000006</v>
      </c>
      <c r="K22">
        <v>187.13119524999999</v>
      </c>
      <c r="L22">
        <v>13.714877225</v>
      </c>
      <c r="M22">
        <v>118.74948125</v>
      </c>
      <c r="N22">
        <v>275.35903125000004</v>
      </c>
      <c r="R22" s="22"/>
      <c r="S22">
        <v>2018</v>
      </c>
      <c r="T22">
        <v>34.363671324999999</v>
      </c>
      <c r="U22">
        <v>24.707422274999999</v>
      </c>
      <c r="V22">
        <f t="shared" si="2"/>
        <v>29.535546799999999</v>
      </c>
      <c r="W22">
        <v>2018</v>
      </c>
      <c r="X22">
        <v>31.893091833333333</v>
      </c>
    </row>
    <row r="23" spans="1:24" x14ac:dyDescent="0.35">
      <c r="A23">
        <v>2019</v>
      </c>
      <c r="B23">
        <v>0.43041328324999995</v>
      </c>
      <c r="C23">
        <v>1.6640677966101696</v>
      </c>
      <c r="D23">
        <v>1879.05971</v>
      </c>
      <c r="E23">
        <v>1891.0504900000001</v>
      </c>
      <c r="F23">
        <f t="shared" si="0"/>
        <v>1885.0551</v>
      </c>
      <c r="G23">
        <v>283.12438199999997</v>
      </c>
      <c r="H23" s="13">
        <v>268.27028675000003</v>
      </c>
      <c r="I23" s="13">
        <f t="shared" si="1"/>
        <v>275.69733437499997</v>
      </c>
      <c r="J23">
        <v>32.4</v>
      </c>
      <c r="K23">
        <v>183.59156025000001</v>
      </c>
      <c r="L23">
        <v>15.496276475</v>
      </c>
      <c r="M23">
        <v>125.07040050000001</v>
      </c>
      <c r="N23">
        <v>271.16752600000001</v>
      </c>
      <c r="R23" s="22"/>
      <c r="S23">
        <v>2019</v>
      </c>
      <c r="T23">
        <v>36.068748974999998</v>
      </c>
      <c r="U23">
        <v>25.863672274999999</v>
      </c>
      <c r="V23">
        <f t="shared" si="2"/>
        <v>30.966210624999999</v>
      </c>
      <c r="W23">
        <v>2019</v>
      </c>
      <c r="X23">
        <v>45.208052649999999</v>
      </c>
    </row>
    <row r="24" spans="1:24" x14ac:dyDescent="0.35">
      <c r="A24">
        <v>2020</v>
      </c>
      <c r="B24">
        <v>0.44272287925000003</v>
      </c>
      <c r="C24">
        <v>1.6829779797273681</v>
      </c>
      <c r="D24">
        <v>1909.6769400000001</v>
      </c>
      <c r="E24">
        <v>1890.4684099999999</v>
      </c>
      <c r="F24">
        <f t="shared" si="0"/>
        <v>1900.0726749999999</v>
      </c>
      <c r="G24">
        <v>266.41966274999999</v>
      </c>
      <c r="H24" s="13">
        <v>251.60609424999998</v>
      </c>
      <c r="I24" s="13">
        <f t="shared" si="1"/>
        <v>259.0128785</v>
      </c>
      <c r="J24">
        <v>31.4</v>
      </c>
      <c r="K24">
        <v>169.57965475</v>
      </c>
      <c r="L24">
        <v>17.624296699999999</v>
      </c>
      <c r="M24">
        <v>117.92631525</v>
      </c>
      <c r="N24">
        <v>267.76611300000002</v>
      </c>
      <c r="R24" s="22"/>
      <c r="S24">
        <v>2020</v>
      </c>
      <c r="T24">
        <v>32.969139124999998</v>
      </c>
      <c r="U24">
        <v>25.709375399999999</v>
      </c>
      <c r="V24">
        <f>AVERAGE(T24:U24)</f>
        <v>29.339257262499999</v>
      </c>
      <c r="W24">
        <v>2020</v>
      </c>
      <c r="X24">
        <v>53.634994500000005</v>
      </c>
    </row>
    <row r="25" spans="1:24" x14ac:dyDescent="0.35">
      <c r="R25" s="22"/>
    </row>
  </sheetData>
  <mergeCells count="5">
    <mergeCell ref="A1:P1"/>
    <mergeCell ref="R1:R25"/>
    <mergeCell ref="S1:U1"/>
    <mergeCell ref="S2:U2"/>
    <mergeCell ref="W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229B-8D05-4BD1-A3EE-6C28F54E49B1}">
  <dimension ref="A1:X25"/>
  <sheetViews>
    <sheetView topLeftCell="F8" workbookViewId="0">
      <selection activeCell="Q3" sqref="A2:Q3"/>
    </sheetView>
  </sheetViews>
  <sheetFormatPr defaultRowHeight="14.5" x14ac:dyDescent="0.35"/>
  <cols>
    <col min="18" max="18" width="8.54296875" customWidth="1"/>
  </cols>
  <sheetData>
    <row r="1" spans="1:24" ht="16" x14ac:dyDescent="0.4">
      <c r="A1" s="21" t="s">
        <v>85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2" t="s">
        <v>13</v>
      </c>
      <c r="S1" s="23" t="s">
        <v>5</v>
      </c>
      <c r="T1" s="23"/>
      <c r="U1" s="23"/>
      <c r="V1" s="14"/>
      <c r="W1" s="3" t="s">
        <v>11</v>
      </c>
      <c r="X1" s="3"/>
    </row>
    <row r="2" spans="1:24" x14ac:dyDescent="0.35">
      <c r="A2" s="12"/>
      <c r="B2" s="12"/>
      <c r="C2" s="12"/>
      <c r="D2" s="12" t="s">
        <v>17</v>
      </c>
      <c r="E2" s="12" t="s">
        <v>17</v>
      </c>
      <c r="F2" s="12" t="s">
        <v>109</v>
      </c>
      <c r="G2" s="12" t="s">
        <v>75</v>
      </c>
      <c r="H2" s="12" t="s">
        <v>86</v>
      </c>
      <c r="I2" s="12" t="s">
        <v>115</v>
      </c>
      <c r="J2" s="12" t="s">
        <v>87</v>
      </c>
      <c r="K2" s="12" t="s">
        <v>19</v>
      </c>
      <c r="L2" s="12" t="s">
        <v>87</v>
      </c>
      <c r="M2" s="12" t="s">
        <v>17</v>
      </c>
      <c r="N2" s="12" t="s">
        <v>45</v>
      </c>
      <c r="O2" s="12"/>
      <c r="P2" s="12"/>
      <c r="R2" s="22"/>
      <c r="S2" s="24" t="s">
        <v>63</v>
      </c>
      <c r="T2" s="24"/>
      <c r="U2" s="24"/>
      <c r="V2" s="15" t="s">
        <v>113</v>
      </c>
      <c r="W2" s="24" t="s">
        <v>12</v>
      </c>
      <c r="X2" s="24"/>
    </row>
    <row r="3" spans="1:24" x14ac:dyDescent="0.35">
      <c r="A3" s="12" t="s">
        <v>0</v>
      </c>
      <c r="B3" s="12" t="s">
        <v>21</v>
      </c>
      <c r="C3" s="12" t="s">
        <v>88</v>
      </c>
      <c r="D3" s="12" t="s">
        <v>23</v>
      </c>
      <c r="E3" s="12" t="s">
        <v>24</v>
      </c>
      <c r="F3" s="12" t="s">
        <v>110</v>
      </c>
      <c r="G3" s="12" t="s">
        <v>89</v>
      </c>
      <c r="H3" s="12" t="s">
        <v>90</v>
      </c>
      <c r="I3" s="12" t="s">
        <v>45</v>
      </c>
      <c r="J3" s="12" t="s">
        <v>26</v>
      </c>
      <c r="K3" s="12" t="s">
        <v>78</v>
      </c>
      <c r="L3" s="12" t="s">
        <v>91</v>
      </c>
      <c r="M3" s="12" t="s">
        <v>92</v>
      </c>
      <c r="N3" s="12" t="s">
        <v>93</v>
      </c>
      <c r="O3" s="12"/>
      <c r="P3" s="12"/>
      <c r="R3" s="22"/>
      <c r="S3" t="s">
        <v>2</v>
      </c>
      <c r="T3" t="s">
        <v>3</v>
      </c>
      <c r="U3" t="s">
        <v>4</v>
      </c>
      <c r="V3" t="s">
        <v>114</v>
      </c>
      <c r="W3" t="s">
        <v>8</v>
      </c>
      <c r="X3" t="s">
        <v>94</v>
      </c>
    </row>
    <row r="4" spans="1:24" x14ac:dyDescent="0.35">
      <c r="A4">
        <v>2000</v>
      </c>
      <c r="B4">
        <v>0.36567036050000001</v>
      </c>
      <c r="C4" s="11">
        <v>2.71905018672738</v>
      </c>
      <c r="J4">
        <v>31.024999999999999</v>
      </c>
      <c r="K4">
        <v>177.55613325000002</v>
      </c>
      <c r="L4">
        <v>9.9828487799999994</v>
      </c>
      <c r="M4">
        <v>126.64237</v>
      </c>
      <c r="N4">
        <v>266.75838449999998</v>
      </c>
      <c r="R4" s="22"/>
      <c r="S4">
        <v>2000</v>
      </c>
      <c r="W4">
        <v>2000</v>
      </c>
      <c r="X4">
        <v>38.612593650000001</v>
      </c>
    </row>
    <row r="5" spans="1:24" x14ac:dyDescent="0.35">
      <c r="A5">
        <v>2001</v>
      </c>
      <c r="B5">
        <v>0.37921037524999995</v>
      </c>
      <c r="C5" s="11">
        <v>2.40475146490214</v>
      </c>
      <c r="J5">
        <v>33.024999999999999</v>
      </c>
      <c r="K5">
        <v>171.114914</v>
      </c>
      <c r="L5">
        <v>12.51595713</v>
      </c>
      <c r="M5">
        <v>134.1422785</v>
      </c>
      <c r="N5">
        <v>270.58329029999999</v>
      </c>
      <c r="R5" s="22"/>
      <c r="S5">
        <v>2001</v>
      </c>
      <c r="W5">
        <v>2001</v>
      </c>
      <c r="X5">
        <v>34.464214800000001</v>
      </c>
    </row>
    <row r="6" spans="1:24" x14ac:dyDescent="0.35">
      <c r="A6">
        <v>2002</v>
      </c>
      <c r="B6">
        <v>0.48472971449999996</v>
      </c>
      <c r="C6" s="11">
        <v>2.5048158528401698</v>
      </c>
      <c r="D6">
        <v>1849.7812549999999</v>
      </c>
      <c r="E6">
        <v>1887.383405</v>
      </c>
      <c r="F6">
        <f>AVERAGE(D6:E6)</f>
        <v>1868.58233</v>
      </c>
      <c r="J6">
        <v>37.450000000000003</v>
      </c>
      <c r="K6">
        <v>183.20874750000002</v>
      </c>
      <c r="L6">
        <v>11.0776205</v>
      </c>
      <c r="M6">
        <v>127.48866832499999</v>
      </c>
      <c r="N6">
        <v>267.2128065</v>
      </c>
      <c r="R6" s="22"/>
      <c r="S6">
        <v>2002</v>
      </c>
      <c r="W6">
        <v>2002</v>
      </c>
      <c r="X6">
        <v>34.464214800000001</v>
      </c>
    </row>
    <row r="7" spans="1:24" x14ac:dyDescent="0.35">
      <c r="A7">
        <v>2003</v>
      </c>
      <c r="B7">
        <v>0.35604801774999995</v>
      </c>
      <c r="C7" s="11">
        <v>1.79835424145859</v>
      </c>
      <c r="D7">
        <v>1853.914</v>
      </c>
      <c r="E7">
        <v>1843.02917</v>
      </c>
      <c r="F7">
        <f t="shared" ref="F7:F24" si="0">AVERAGE(D7:E7)</f>
        <v>1848.471585</v>
      </c>
      <c r="G7">
        <v>280.95766450000002</v>
      </c>
      <c r="H7">
        <v>265.01169599999997</v>
      </c>
      <c r="I7">
        <f>AVERAGE(G7:H7)</f>
        <v>272.98468025</v>
      </c>
      <c r="J7">
        <v>27.725000000000001</v>
      </c>
      <c r="K7">
        <v>166.13162999999997</v>
      </c>
      <c r="L7">
        <v>11.858623</v>
      </c>
      <c r="M7">
        <v>136.98896775</v>
      </c>
      <c r="N7">
        <v>269.81027979999999</v>
      </c>
      <c r="R7" s="22"/>
      <c r="S7">
        <v>2003</v>
      </c>
      <c r="T7">
        <v>31.807031174999999</v>
      </c>
      <c r="U7">
        <v>24.660547274999999</v>
      </c>
      <c r="V7">
        <f>AVERAGE(T7:U7)</f>
        <v>28.233789224999999</v>
      </c>
      <c r="W7">
        <v>2003</v>
      </c>
      <c r="X7">
        <v>39.713649000000004</v>
      </c>
    </row>
    <row r="8" spans="1:24" x14ac:dyDescent="0.35">
      <c r="A8">
        <v>2004</v>
      </c>
      <c r="B8">
        <v>0.45555800949999997</v>
      </c>
      <c r="C8" s="11">
        <v>2.6703728840626</v>
      </c>
      <c r="D8">
        <v>1835.3457550000001</v>
      </c>
      <c r="E8">
        <v>1822.9475199999999</v>
      </c>
      <c r="F8">
        <f t="shared" si="0"/>
        <v>1829.1466375</v>
      </c>
      <c r="G8">
        <v>289.59126279999998</v>
      </c>
      <c r="H8">
        <v>272.30509949999998</v>
      </c>
      <c r="I8">
        <f t="shared" ref="I8:I24" si="1">AVERAGE(G8:H8)</f>
        <v>280.94818114999998</v>
      </c>
      <c r="J8">
        <v>36.049999999999997</v>
      </c>
      <c r="K8">
        <v>179.87601475000002</v>
      </c>
      <c r="L8">
        <v>10.121972132500002</v>
      </c>
      <c r="M8">
        <v>127.6493815</v>
      </c>
      <c r="N8">
        <v>271.1992338</v>
      </c>
      <c r="R8" s="22"/>
      <c r="S8">
        <v>2004</v>
      </c>
      <c r="T8">
        <v>33.846092724999998</v>
      </c>
      <c r="U8">
        <v>24.084375399999999</v>
      </c>
      <c r="V8">
        <f t="shared" ref="V8:V24" si="2">AVERAGE(T8:U8)</f>
        <v>28.965234062499999</v>
      </c>
      <c r="W8">
        <v>2004</v>
      </c>
      <c r="X8">
        <v>44.578769699999995</v>
      </c>
    </row>
    <row r="9" spans="1:24" x14ac:dyDescent="0.35">
      <c r="A9">
        <v>2005</v>
      </c>
      <c r="B9">
        <v>0.41131610425000004</v>
      </c>
      <c r="C9" s="11">
        <v>0.57855274985699101</v>
      </c>
      <c r="D9">
        <v>1846.347</v>
      </c>
      <c r="E9">
        <v>1885.92821</v>
      </c>
      <c r="F9">
        <f t="shared" si="0"/>
        <v>1866.1376049999999</v>
      </c>
      <c r="G9">
        <v>280.67945880000002</v>
      </c>
      <c r="H9">
        <v>263.97907249999997</v>
      </c>
      <c r="I9">
        <f t="shared" si="1"/>
        <v>272.32926565000002</v>
      </c>
      <c r="J9">
        <v>33.174999999999997</v>
      </c>
      <c r="K9">
        <v>177.93609600000002</v>
      </c>
      <c r="L9">
        <v>11.566987794999999</v>
      </c>
      <c r="M9">
        <v>132.23362724999998</v>
      </c>
      <c r="N9">
        <v>265.00524130000002</v>
      </c>
      <c r="R9" s="22"/>
      <c r="S9">
        <v>2005</v>
      </c>
      <c r="T9">
        <v>32.379296324999999</v>
      </c>
      <c r="U9">
        <v>24.197656649999999</v>
      </c>
      <c r="V9">
        <f t="shared" si="2"/>
        <v>28.288476487499999</v>
      </c>
      <c r="W9">
        <v>2005</v>
      </c>
      <c r="X9">
        <v>38.454061520000003</v>
      </c>
    </row>
    <row r="10" spans="1:24" x14ac:dyDescent="0.35">
      <c r="A10">
        <v>2006</v>
      </c>
      <c r="B10">
        <v>0.35041082674999996</v>
      </c>
      <c r="C10" s="11">
        <v>1.5209947433975799</v>
      </c>
      <c r="D10">
        <v>1847.0454999999999</v>
      </c>
      <c r="E10">
        <v>1844.95002</v>
      </c>
      <c r="F10">
        <f t="shared" si="0"/>
        <v>1845.99776</v>
      </c>
      <c r="G10">
        <v>294.71269999999998</v>
      </c>
      <c r="H10">
        <v>276.07290649999999</v>
      </c>
      <c r="I10">
        <f t="shared" si="1"/>
        <v>285.39280324999999</v>
      </c>
      <c r="J10">
        <v>26.125</v>
      </c>
      <c r="K10">
        <v>181.82962424999999</v>
      </c>
      <c r="L10">
        <v>10.1659962625</v>
      </c>
      <c r="M10">
        <v>127.38075075</v>
      </c>
      <c r="N10">
        <v>272.32829279999999</v>
      </c>
      <c r="R10" s="22"/>
      <c r="S10">
        <v>2006</v>
      </c>
      <c r="T10">
        <v>32.599999449999999</v>
      </c>
      <c r="U10">
        <v>24.064844149999999</v>
      </c>
      <c r="V10">
        <f t="shared" si="2"/>
        <v>28.332421799999999</v>
      </c>
      <c r="W10">
        <v>2006</v>
      </c>
      <c r="X10">
        <v>38.386680599999998</v>
      </c>
    </row>
    <row r="11" spans="1:24" x14ac:dyDescent="0.35">
      <c r="A11">
        <v>2007</v>
      </c>
      <c r="B11">
        <v>0.44024637350000001</v>
      </c>
      <c r="C11" s="11">
        <v>1.5690053970701601</v>
      </c>
      <c r="D11">
        <v>1847.51116</v>
      </c>
      <c r="E11">
        <v>1856.82438</v>
      </c>
      <c r="F11">
        <f t="shared" si="0"/>
        <v>1852.16777</v>
      </c>
      <c r="G11">
        <v>278.81671929999999</v>
      </c>
      <c r="H11">
        <v>265.08937079999998</v>
      </c>
      <c r="I11">
        <f t="shared" si="1"/>
        <v>271.95304505000001</v>
      </c>
      <c r="J11">
        <v>30.35</v>
      </c>
      <c r="K11">
        <v>173.87140675000001</v>
      </c>
      <c r="L11">
        <v>12.846006899999999</v>
      </c>
      <c r="M11">
        <v>132.36796565</v>
      </c>
      <c r="N11">
        <v>265.83158100000003</v>
      </c>
      <c r="R11" s="22"/>
      <c r="S11">
        <v>2007</v>
      </c>
      <c r="T11">
        <v>33.090233349999998</v>
      </c>
      <c r="U11">
        <v>23.568750399999999</v>
      </c>
      <c r="V11">
        <f t="shared" si="2"/>
        <v>28.329491874999999</v>
      </c>
      <c r="W11">
        <v>2007</v>
      </c>
      <c r="X11">
        <v>51.861753450000002</v>
      </c>
    </row>
    <row r="12" spans="1:24" x14ac:dyDescent="0.35">
      <c r="A12">
        <v>2008</v>
      </c>
      <c r="B12">
        <v>0.46991718549999995</v>
      </c>
      <c r="C12" s="11">
        <v>1.6959929286977</v>
      </c>
      <c r="D12">
        <v>1857.0572099999999</v>
      </c>
      <c r="E12">
        <v>1846.46342</v>
      </c>
      <c r="F12">
        <f t="shared" si="0"/>
        <v>1851.760315</v>
      </c>
      <c r="G12">
        <v>285.5400545</v>
      </c>
      <c r="H12">
        <v>268.60202029999999</v>
      </c>
      <c r="I12">
        <f t="shared" si="1"/>
        <v>277.07103740000002</v>
      </c>
      <c r="J12">
        <v>39.450000000000003</v>
      </c>
      <c r="K12">
        <v>177.01921075000001</v>
      </c>
      <c r="L12">
        <v>15.094171049999998</v>
      </c>
      <c r="M12">
        <v>134.93316824999999</v>
      </c>
      <c r="N12">
        <v>269.25537880000002</v>
      </c>
      <c r="R12" s="22"/>
      <c r="S12">
        <v>2008</v>
      </c>
      <c r="T12">
        <v>31.672265074999999</v>
      </c>
      <c r="U12">
        <v>23.328516024999999</v>
      </c>
      <c r="V12">
        <f t="shared" si="2"/>
        <v>27.500390549999999</v>
      </c>
      <c r="W12">
        <v>2008</v>
      </c>
      <c r="X12">
        <v>46.206542966666667</v>
      </c>
    </row>
    <row r="13" spans="1:24" x14ac:dyDescent="0.35">
      <c r="A13">
        <v>2009</v>
      </c>
      <c r="B13">
        <v>0.43030893074999998</v>
      </c>
      <c r="C13" s="11">
        <v>2.1459992269037498</v>
      </c>
      <c r="D13">
        <v>1886.97595</v>
      </c>
      <c r="E13">
        <v>1837.9650999999999</v>
      </c>
      <c r="F13">
        <f t="shared" si="0"/>
        <v>1862.470525</v>
      </c>
      <c r="G13">
        <v>284.7108538</v>
      </c>
      <c r="H13">
        <v>270.13397229999998</v>
      </c>
      <c r="I13">
        <f t="shared" si="1"/>
        <v>277.42241304999999</v>
      </c>
      <c r="J13">
        <v>33.950000000000003</v>
      </c>
      <c r="K13">
        <v>186.83703975</v>
      </c>
      <c r="L13">
        <v>13.007021247499999</v>
      </c>
      <c r="M13">
        <v>133.33411225</v>
      </c>
      <c r="N13">
        <v>268.255943</v>
      </c>
      <c r="R13" s="22"/>
      <c r="S13">
        <v>2009</v>
      </c>
      <c r="T13">
        <v>33.898826624999998</v>
      </c>
      <c r="U13">
        <v>23.879297274999999</v>
      </c>
      <c r="V13">
        <f t="shared" si="2"/>
        <v>28.889061949999999</v>
      </c>
      <c r="W13">
        <v>2009</v>
      </c>
      <c r="X13">
        <v>33.141238224999995</v>
      </c>
    </row>
    <row r="14" spans="1:24" x14ac:dyDescent="0.35">
      <c r="A14">
        <v>2010</v>
      </c>
      <c r="B14">
        <v>0.41918431950000001</v>
      </c>
      <c r="C14" s="11">
        <v>1.4829876574627801</v>
      </c>
      <c r="D14">
        <v>1887.2669900000001</v>
      </c>
      <c r="E14">
        <v>1863.6928849999999</v>
      </c>
      <c r="F14">
        <f t="shared" si="0"/>
        <v>1875.4799375</v>
      </c>
      <c r="G14">
        <v>286.13332380000003</v>
      </c>
      <c r="H14">
        <v>269.81906129999999</v>
      </c>
      <c r="I14">
        <f t="shared" si="1"/>
        <v>277.97619255000001</v>
      </c>
      <c r="J14">
        <v>26.85</v>
      </c>
      <c r="K14">
        <v>172.4137345</v>
      </c>
      <c r="L14">
        <v>13.028439250000002</v>
      </c>
      <c r="M14">
        <v>138.85769074999999</v>
      </c>
      <c r="N14">
        <v>268.39855180000001</v>
      </c>
      <c r="R14" s="22"/>
      <c r="S14">
        <v>2010</v>
      </c>
      <c r="T14">
        <v>33.250389599999998</v>
      </c>
      <c r="U14">
        <v>24.514062899999999</v>
      </c>
      <c r="V14">
        <f t="shared" si="2"/>
        <v>28.882226249999999</v>
      </c>
      <c r="W14">
        <v>2010</v>
      </c>
      <c r="X14">
        <v>41.291081766666672</v>
      </c>
    </row>
    <row r="15" spans="1:24" x14ac:dyDescent="0.35">
      <c r="A15">
        <v>2011</v>
      </c>
      <c r="B15">
        <v>0.44973923275000005</v>
      </c>
      <c r="C15" s="11">
        <v>2.0199900049975001</v>
      </c>
      <c r="D15">
        <v>1866.13761</v>
      </c>
      <c r="E15">
        <v>1864.8570400000001</v>
      </c>
      <c r="F15">
        <f t="shared" si="0"/>
        <v>1865.497325</v>
      </c>
      <c r="G15">
        <v>282.12281000000002</v>
      </c>
      <c r="H15">
        <v>266.35812379999999</v>
      </c>
      <c r="I15">
        <f t="shared" si="1"/>
        <v>274.2404669</v>
      </c>
      <c r="J15">
        <v>35</v>
      </c>
      <c r="K15">
        <v>173.47107324999999</v>
      </c>
      <c r="L15">
        <v>17.155839874999998</v>
      </c>
      <c r="M15">
        <v>135.77040675000001</v>
      </c>
      <c r="N15">
        <v>267.29368579999999</v>
      </c>
      <c r="R15" s="22"/>
      <c r="S15">
        <v>2011</v>
      </c>
      <c r="T15">
        <v>31.807030699999999</v>
      </c>
      <c r="U15">
        <v>24.203516024999999</v>
      </c>
      <c r="V15">
        <f t="shared" si="2"/>
        <v>28.005273362499999</v>
      </c>
      <c r="W15">
        <v>2011</v>
      </c>
      <c r="X15">
        <v>37.752295833333335</v>
      </c>
    </row>
    <row r="16" spans="1:24" x14ac:dyDescent="0.35">
      <c r="A16">
        <v>2012</v>
      </c>
      <c r="B16">
        <v>0.43703054649999995</v>
      </c>
      <c r="C16" s="11">
        <v>2.21499509322866</v>
      </c>
      <c r="D16">
        <v>1885.346135</v>
      </c>
      <c r="E16">
        <v>1878.0119749999999</v>
      </c>
      <c r="F16">
        <f t="shared" si="0"/>
        <v>1881.6790550000001</v>
      </c>
      <c r="G16">
        <v>285.24167629999999</v>
      </c>
      <c r="H16">
        <v>267.78823849999998</v>
      </c>
      <c r="I16">
        <f t="shared" si="1"/>
        <v>276.51495739999996</v>
      </c>
      <c r="J16">
        <v>34.4</v>
      </c>
      <c r="K16">
        <v>187.36964424999999</v>
      </c>
      <c r="L16">
        <v>15.051789600000001</v>
      </c>
      <c r="M16">
        <v>128.30891800000001</v>
      </c>
      <c r="N16">
        <v>268.79611180000001</v>
      </c>
      <c r="R16" s="22"/>
      <c r="S16">
        <v>2012</v>
      </c>
      <c r="T16">
        <v>32.482811949999999</v>
      </c>
      <c r="U16">
        <v>23.273828524999999</v>
      </c>
      <c r="V16">
        <f t="shared" si="2"/>
        <v>27.878320237499999</v>
      </c>
      <c r="W16">
        <v>2012</v>
      </c>
      <c r="X16">
        <v>72.084634725000001</v>
      </c>
    </row>
    <row r="17" spans="1:24" x14ac:dyDescent="0.35">
      <c r="A17">
        <v>2013</v>
      </c>
      <c r="B17">
        <v>0.38458563374999999</v>
      </c>
      <c r="C17" s="11">
        <v>2.4280000935519301</v>
      </c>
      <c r="D17">
        <v>1869.1644100000001</v>
      </c>
      <c r="E17">
        <v>1869.2808199999999</v>
      </c>
      <c r="F17">
        <f t="shared" si="0"/>
        <v>1869.2226150000001</v>
      </c>
      <c r="G17">
        <v>289.56845850000002</v>
      </c>
      <c r="H17">
        <v>271.26582330000002</v>
      </c>
      <c r="I17">
        <f t="shared" si="1"/>
        <v>280.41714090000005</v>
      </c>
      <c r="J17">
        <v>26.675000000000001</v>
      </c>
      <c r="K17">
        <v>187.448803</v>
      </c>
      <c r="L17">
        <v>13.284238825000001</v>
      </c>
      <c r="M17">
        <v>129.45918499999999</v>
      </c>
      <c r="N17">
        <v>271.23259000000002</v>
      </c>
      <c r="R17" s="22"/>
      <c r="S17">
        <v>2013</v>
      </c>
      <c r="T17">
        <v>30.736718674999999</v>
      </c>
      <c r="U17">
        <v>23.808984774999999</v>
      </c>
      <c r="V17">
        <f t="shared" si="2"/>
        <v>27.272851724999999</v>
      </c>
      <c r="W17">
        <v>2013</v>
      </c>
      <c r="X17">
        <v>44.692658733333332</v>
      </c>
    </row>
    <row r="18" spans="1:24" x14ac:dyDescent="0.35">
      <c r="A18">
        <v>2014</v>
      </c>
      <c r="B18">
        <v>0.46985760349999994</v>
      </c>
      <c r="C18" s="11">
        <v>2.1510077123013298</v>
      </c>
      <c r="D18">
        <v>1867.88384</v>
      </c>
      <c r="E18">
        <v>1842.56351</v>
      </c>
      <c r="F18">
        <f t="shared" si="0"/>
        <v>1855.223675</v>
      </c>
      <c r="G18">
        <v>286.40530380000001</v>
      </c>
      <c r="H18">
        <v>269.03533149999998</v>
      </c>
      <c r="I18">
        <f t="shared" si="1"/>
        <v>277.72031764999997</v>
      </c>
      <c r="J18">
        <v>36.15</v>
      </c>
      <c r="K18">
        <v>181.18489449999998</v>
      </c>
      <c r="L18">
        <v>14.150009825</v>
      </c>
      <c r="M18">
        <v>124.26787350000001</v>
      </c>
      <c r="N18">
        <v>271.12179550000002</v>
      </c>
      <c r="R18" s="22"/>
      <c r="S18">
        <v>2014</v>
      </c>
      <c r="T18">
        <v>32.982811474999998</v>
      </c>
      <c r="U18">
        <v>24.416406649999999</v>
      </c>
      <c r="V18">
        <f t="shared" si="2"/>
        <v>28.699609062499999</v>
      </c>
      <c r="W18">
        <v>2014</v>
      </c>
      <c r="X18">
        <v>33.67700957142857</v>
      </c>
    </row>
    <row r="19" spans="1:24" x14ac:dyDescent="0.35">
      <c r="A19">
        <v>2015</v>
      </c>
      <c r="B19">
        <v>0.47506486625</v>
      </c>
      <c r="C19" s="11">
        <v>2.3220099402672001</v>
      </c>
      <c r="D19">
        <v>1859.6183550000001</v>
      </c>
      <c r="E19">
        <v>1880.45669</v>
      </c>
      <c r="F19">
        <f t="shared" si="0"/>
        <v>1870.0375225</v>
      </c>
      <c r="G19">
        <v>296.56253800000002</v>
      </c>
      <c r="H19">
        <v>275.83110799999997</v>
      </c>
      <c r="I19">
        <f t="shared" si="1"/>
        <v>286.19682299999999</v>
      </c>
      <c r="J19">
        <v>38.325000000000003</v>
      </c>
      <c r="K19">
        <v>188.84468849999999</v>
      </c>
      <c r="L19">
        <v>12.52515445</v>
      </c>
      <c r="M19">
        <v>125.31912625</v>
      </c>
      <c r="N19">
        <v>277.83699050000001</v>
      </c>
      <c r="R19" s="22"/>
      <c r="S19">
        <v>2015</v>
      </c>
      <c r="T19">
        <v>34.185935999999998</v>
      </c>
      <c r="U19">
        <v>23.980859774999999</v>
      </c>
      <c r="V19">
        <f t="shared" si="2"/>
        <v>29.083397887499999</v>
      </c>
      <c r="W19">
        <v>2015</v>
      </c>
      <c r="X19">
        <v>35.394294700000003</v>
      </c>
    </row>
    <row r="20" spans="1:24" x14ac:dyDescent="0.35">
      <c r="A20">
        <v>2016</v>
      </c>
      <c r="B20">
        <v>0.41261375700000003</v>
      </c>
      <c r="C20" s="11">
        <v>2.0589906051999098</v>
      </c>
      <c r="D20">
        <v>1914.56638</v>
      </c>
      <c r="E20">
        <v>1870.79422</v>
      </c>
      <c r="F20">
        <f t="shared" si="0"/>
        <v>1892.6803</v>
      </c>
      <c r="G20">
        <v>279.11186980000002</v>
      </c>
      <c r="H20">
        <v>258.91791929999999</v>
      </c>
      <c r="I20">
        <f t="shared" si="1"/>
        <v>269.01489455000001</v>
      </c>
      <c r="J20">
        <v>31.7</v>
      </c>
      <c r="K20">
        <v>167.04252224999999</v>
      </c>
      <c r="L20">
        <v>15.650563950000002</v>
      </c>
      <c r="M20">
        <v>134.05282750000001</v>
      </c>
      <c r="N20">
        <v>266.63642129999999</v>
      </c>
      <c r="R20" s="22"/>
      <c r="S20">
        <v>2016</v>
      </c>
      <c r="T20">
        <v>31.674218199999999</v>
      </c>
      <c r="U20">
        <v>23.674219149999999</v>
      </c>
      <c r="V20">
        <f t="shared" si="2"/>
        <v>27.674218674999999</v>
      </c>
      <c r="W20">
        <v>2016</v>
      </c>
      <c r="X20">
        <v>48.793515533333334</v>
      </c>
    </row>
    <row r="21" spans="1:24" x14ac:dyDescent="0.35">
      <c r="A21">
        <v>2017</v>
      </c>
      <c r="B21">
        <v>0.44671092925</v>
      </c>
      <c r="C21" s="11">
        <v>2.4549992045816098</v>
      </c>
      <c r="D21">
        <v>1878.1283900000001</v>
      </c>
      <c r="E21">
        <v>1895.24144</v>
      </c>
      <c r="F21">
        <f t="shared" si="0"/>
        <v>1886.684915</v>
      </c>
      <c r="G21">
        <v>280.16494749999998</v>
      </c>
      <c r="H21">
        <v>262.59751130000001</v>
      </c>
      <c r="I21">
        <f t="shared" si="1"/>
        <v>271.3812294</v>
      </c>
      <c r="J21">
        <v>38.700000000000003</v>
      </c>
      <c r="K21">
        <v>167.60565975</v>
      </c>
      <c r="L21">
        <v>15.160327225000001</v>
      </c>
      <c r="M21">
        <v>131.71404475</v>
      </c>
      <c r="N21">
        <v>267.97916429999998</v>
      </c>
      <c r="R21" s="22"/>
      <c r="S21">
        <v>2017</v>
      </c>
      <c r="T21">
        <v>32.033593199999999</v>
      </c>
      <c r="U21">
        <v>23.998437899999999</v>
      </c>
      <c r="V21">
        <f t="shared" si="2"/>
        <v>28.016015549999999</v>
      </c>
      <c r="W21">
        <v>2017</v>
      </c>
      <c r="X21">
        <v>43.804989800000001</v>
      </c>
    </row>
    <row r="22" spans="1:24" x14ac:dyDescent="0.35">
      <c r="A22">
        <v>2018</v>
      </c>
      <c r="B22">
        <v>0.37488970175000003</v>
      </c>
      <c r="C22" s="11">
        <v>2.54900520118332</v>
      </c>
      <c r="D22">
        <v>1896.056345</v>
      </c>
      <c r="E22">
        <v>1905.7188200000001</v>
      </c>
      <c r="F22">
        <f t="shared" si="0"/>
        <v>1900.8875825</v>
      </c>
      <c r="G22">
        <v>282.1762008</v>
      </c>
      <c r="H22">
        <v>266.49549130000003</v>
      </c>
      <c r="I22">
        <f t="shared" si="1"/>
        <v>274.33584604999999</v>
      </c>
      <c r="J22">
        <v>36.174999999999997</v>
      </c>
      <c r="K22">
        <v>181.266571</v>
      </c>
      <c r="L22">
        <v>13.714877225</v>
      </c>
      <c r="M22">
        <v>132.07295625</v>
      </c>
      <c r="N22">
        <v>270.57899450000002</v>
      </c>
      <c r="R22" s="22"/>
      <c r="S22">
        <v>2018</v>
      </c>
      <c r="T22">
        <v>32.064843199999999</v>
      </c>
      <c r="U22">
        <v>22.943750399999999</v>
      </c>
      <c r="V22">
        <f t="shared" si="2"/>
        <v>27.504296799999999</v>
      </c>
      <c r="W22">
        <v>2018</v>
      </c>
      <c r="X22">
        <v>31.893091833333333</v>
      </c>
    </row>
    <row r="23" spans="1:24" x14ac:dyDescent="0.35">
      <c r="A23">
        <v>2019</v>
      </c>
      <c r="B23">
        <v>0.44251535074999993</v>
      </c>
      <c r="C23" s="11">
        <v>2.52900256180618</v>
      </c>
      <c r="D23">
        <v>1879.05971</v>
      </c>
      <c r="E23">
        <v>1891.0504900000001</v>
      </c>
      <c r="F23">
        <f t="shared" si="0"/>
        <v>1885.0551</v>
      </c>
      <c r="G23">
        <v>281.02761850000002</v>
      </c>
      <c r="H23">
        <v>264.93303700000001</v>
      </c>
      <c r="I23">
        <f t="shared" si="1"/>
        <v>272.98032775000001</v>
      </c>
      <c r="J23">
        <v>36.225000000000001</v>
      </c>
      <c r="K23">
        <v>165.89556125000001</v>
      </c>
      <c r="L23">
        <v>15.496276475</v>
      </c>
      <c r="M23">
        <v>137.45288675</v>
      </c>
      <c r="N23">
        <v>267.49067680000002</v>
      </c>
      <c r="R23" s="22"/>
      <c r="S23">
        <v>2019</v>
      </c>
      <c r="T23">
        <v>31.758202574999999</v>
      </c>
      <c r="U23">
        <v>24.416406649999999</v>
      </c>
      <c r="V23">
        <f t="shared" si="2"/>
        <v>28.087304612499999</v>
      </c>
      <c r="W23">
        <v>2019</v>
      </c>
      <c r="X23">
        <v>45.208052649999999</v>
      </c>
    </row>
    <row r="24" spans="1:24" x14ac:dyDescent="0.35">
      <c r="A24">
        <v>2020</v>
      </c>
      <c r="B24">
        <v>0.455326393</v>
      </c>
      <c r="C24" s="11">
        <v>2.6559949516196899</v>
      </c>
      <c r="D24">
        <v>1909.6769400000001</v>
      </c>
      <c r="E24">
        <v>1890.4684099999999</v>
      </c>
      <c r="F24">
        <f t="shared" si="0"/>
        <v>1900.0726749999999</v>
      </c>
      <c r="G24">
        <v>265.82936130000002</v>
      </c>
      <c r="H24">
        <v>249.39830000000001</v>
      </c>
      <c r="I24">
        <f t="shared" si="1"/>
        <v>257.61383065000001</v>
      </c>
      <c r="J24">
        <v>36.174999999999997</v>
      </c>
      <c r="K24">
        <v>167.623043</v>
      </c>
      <c r="L24">
        <v>17.624296699999999</v>
      </c>
      <c r="M24">
        <v>125.748333</v>
      </c>
      <c r="N24">
        <v>263.20559680000002</v>
      </c>
      <c r="R24" s="22"/>
      <c r="S24">
        <v>2020</v>
      </c>
      <c r="T24">
        <v>33.560935999999998</v>
      </c>
      <c r="U24">
        <v>25.211328524999999</v>
      </c>
      <c r="V24">
        <f t="shared" si="2"/>
        <v>29.386132262499999</v>
      </c>
      <c r="W24">
        <v>2020</v>
      </c>
      <c r="X24">
        <v>53.634994500000005</v>
      </c>
    </row>
    <row r="25" spans="1:24" x14ac:dyDescent="0.35">
      <c r="R25" s="22"/>
    </row>
  </sheetData>
  <mergeCells count="5">
    <mergeCell ref="A1:P1"/>
    <mergeCell ref="R1:R25"/>
    <mergeCell ref="S1:U1"/>
    <mergeCell ref="S2:U2"/>
    <mergeCell ref="W2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22E1-352A-45F7-BE54-143C39FF1714}">
  <dimension ref="A1:V25"/>
  <sheetViews>
    <sheetView topLeftCell="D8" workbookViewId="0">
      <selection activeCell="T3" sqref="T3"/>
    </sheetView>
  </sheetViews>
  <sheetFormatPr defaultRowHeight="14.5" x14ac:dyDescent="0.35"/>
  <sheetData>
    <row r="1" spans="1:22" x14ac:dyDescent="0.35">
      <c r="A1" s="25" t="s">
        <v>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P1" s="22" t="s">
        <v>13</v>
      </c>
      <c r="Q1" s="23" t="s">
        <v>5</v>
      </c>
      <c r="R1" s="23"/>
      <c r="S1" s="23"/>
      <c r="T1" s="14"/>
      <c r="U1" s="3" t="s">
        <v>11</v>
      </c>
      <c r="V1" s="3"/>
    </row>
    <row r="2" spans="1:22" x14ac:dyDescent="0.35">
      <c r="A2" s="12"/>
      <c r="B2" s="12"/>
      <c r="C2" s="12"/>
      <c r="D2" s="12" t="s">
        <v>17</v>
      </c>
      <c r="E2" s="12" t="s">
        <v>19</v>
      </c>
      <c r="F2" s="12" t="s">
        <v>17</v>
      </c>
      <c r="G2" s="12" t="s">
        <v>17</v>
      </c>
      <c r="H2" s="17" t="s">
        <v>109</v>
      </c>
      <c r="I2" s="12" t="s">
        <v>45</v>
      </c>
      <c r="J2" s="12" t="s">
        <v>45</v>
      </c>
      <c r="K2" s="12"/>
      <c r="L2" s="12"/>
      <c r="M2" s="12" t="s">
        <v>46</v>
      </c>
      <c r="N2" s="12"/>
      <c r="P2" s="22"/>
      <c r="Q2" s="24" t="s">
        <v>81</v>
      </c>
      <c r="R2" s="24"/>
      <c r="S2" s="24"/>
      <c r="T2" s="15" t="s">
        <v>113</v>
      </c>
      <c r="U2" s="24" t="s">
        <v>12</v>
      </c>
      <c r="V2" s="24"/>
    </row>
    <row r="3" spans="1:22" x14ac:dyDescent="0.35">
      <c r="A3" s="12" t="s">
        <v>0</v>
      </c>
      <c r="B3" s="12" t="s">
        <v>21</v>
      </c>
      <c r="C3" s="12" t="s">
        <v>14</v>
      </c>
      <c r="D3" s="12" t="s">
        <v>83</v>
      </c>
      <c r="E3" s="12" t="s">
        <v>15</v>
      </c>
      <c r="F3" s="12" t="s">
        <v>67</v>
      </c>
      <c r="G3" s="12" t="s">
        <v>68</v>
      </c>
      <c r="H3" s="17" t="s">
        <v>116</v>
      </c>
      <c r="I3" s="12" t="s">
        <v>69</v>
      </c>
      <c r="J3" s="12" t="s">
        <v>70</v>
      </c>
      <c r="K3" s="12" t="s">
        <v>71</v>
      </c>
      <c r="L3" s="12"/>
      <c r="M3" s="12" t="s">
        <v>84</v>
      </c>
      <c r="N3" s="12"/>
      <c r="P3" s="22"/>
      <c r="Q3" t="s">
        <v>2</v>
      </c>
      <c r="R3" t="s">
        <v>3</v>
      </c>
      <c r="S3" t="s">
        <v>4</v>
      </c>
      <c r="T3" s="19" t="s">
        <v>114</v>
      </c>
      <c r="U3" t="s">
        <v>8</v>
      </c>
    </row>
    <row r="4" spans="1:22" x14ac:dyDescent="0.35">
      <c r="A4">
        <v>2000</v>
      </c>
      <c r="B4">
        <v>0.34561334575000002</v>
      </c>
      <c r="C4" s="11">
        <v>1.3641212038861299</v>
      </c>
      <c r="M4">
        <v>58.903449725000002</v>
      </c>
      <c r="P4" s="22"/>
      <c r="Q4">
        <v>2000</v>
      </c>
      <c r="U4">
        <v>2000</v>
      </c>
      <c r="V4">
        <v>43.725337975000002</v>
      </c>
    </row>
    <row r="5" spans="1:22" x14ac:dyDescent="0.35">
      <c r="A5">
        <v>2001</v>
      </c>
      <c r="B5">
        <v>0.41645746675</v>
      </c>
      <c r="C5" s="11">
        <v>1.2094331970122001</v>
      </c>
      <c r="M5">
        <v>56.649075400000001</v>
      </c>
      <c r="P5" s="22"/>
      <c r="Q5">
        <v>2001</v>
      </c>
      <c r="U5">
        <v>2001</v>
      </c>
      <c r="V5">
        <v>30.035896141666669</v>
      </c>
    </row>
    <row r="6" spans="1:22" x14ac:dyDescent="0.35">
      <c r="A6">
        <v>2002</v>
      </c>
      <c r="B6">
        <v>0.36919037249999997</v>
      </c>
      <c r="C6" s="11">
        <v>1.62981193785773</v>
      </c>
      <c r="D6">
        <v>1806.4653674193501</v>
      </c>
      <c r="E6">
        <v>1860.82907</v>
      </c>
      <c r="F6">
        <v>150.72458025714286</v>
      </c>
      <c r="G6">
        <v>164.80771590000001</v>
      </c>
      <c r="H6">
        <f>AVERAGE(F6:G6)</f>
        <v>157.76614807857143</v>
      </c>
      <c r="M6">
        <v>56.875926824999993</v>
      </c>
      <c r="P6" s="22"/>
      <c r="Q6">
        <v>2002</v>
      </c>
      <c r="U6">
        <v>2002</v>
      </c>
      <c r="V6">
        <v>32.167098525</v>
      </c>
    </row>
    <row r="7" spans="1:22" x14ac:dyDescent="0.35">
      <c r="A7">
        <v>2003</v>
      </c>
      <c r="B7">
        <v>0.36703832449999996</v>
      </c>
      <c r="C7" s="11">
        <v>1.6684926749179101</v>
      </c>
      <c r="D7">
        <v>1810.9276418750001</v>
      </c>
      <c r="E7">
        <v>1852.9826780000001</v>
      </c>
      <c r="F7">
        <v>151.14236512121212</v>
      </c>
      <c r="G7">
        <v>157.40247009999999</v>
      </c>
      <c r="H7">
        <f t="shared" ref="H7:H24" si="0">AVERAGE(F7:G7)</f>
        <v>154.27241761060606</v>
      </c>
      <c r="M7">
        <v>53.013377599999998</v>
      </c>
      <c r="P7" s="22"/>
      <c r="Q7">
        <v>2003</v>
      </c>
      <c r="R7">
        <v>28.771874924999999</v>
      </c>
      <c r="S7">
        <v>11.545312900000001</v>
      </c>
      <c r="T7">
        <f>AVERAGE(R7:S7)</f>
        <v>20.158593912499999</v>
      </c>
      <c r="U7">
        <v>2003</v>
      </c>
      <c r="V7">
        <v>42.502061460000007</v>
      </c>
    </row>
    <row r="8" spans="1:22" x14ac:dyDescent="0.35">
      <c r="A8">
        <v>2004</v>
      </c>
      <c r="B8">
        <v>0.44162138549999996</v>
      </c>
      <c r="C8" s="11">
        <v>1.43706181818182</v>
      </c>
      <c r="D8">
        <v>1801.1512497142901</v>
      </c>
      <c r="E8">
        <v>1846.4740019999999</v>
      </c>
      <c r="F8">
        <v>154.02079697142858</v>
      </c>
      <c r="G8">
        <v>158.63756119999999</v>
      </c>
      <c r="H8">
        <f t="shared" si="0"/>
        <v>156.32917908571429</v>
      </c>
      <c r="I8">
        <v>260.32403929807703</v>
      </c>
      <c r="J8">
        <v>260.23653851923098</v>
      </c>
      <c r="K8">
        <v>0.138472222318056</v>
      </c>
      <c r="M8">
        <v>58.030236050000006</v>
      </c>
      <c r="P8" s="22"/>
      <c r="Q8">
        <v>2004</v>
      </c>
      <c r="R8">
        <v>29.949609774999999</v>
      </c>
      <c r="S8">
        <v>12.902734775000001</v>
      </c>
      <c r="T8">
        <f t="shared" ref="T8:T24" si="1">AVERAGE(R8:S8)</f>
        <v>21.426172274999999</v>
      </c>
      <c r="U8">
        <v>2004</v>
      </c>
      <c r="V8">
        <v>50.229161060000003</v>
      </c>
    </row>
    <row r="9" spans="1:22" x14ac:dyDescent="0.35">
      <c r="A9">
        <v>2005</v>
      </c>
      <c r="B9">
        <v>0.36462096900000002</v>
      </c>
      <c r="C9" s="11">
        <v>1.02394818274424</v>
      </c>
      <c r="D9">
        <v>1799.31521444444</v>
      </c>
      <c r="E9">
        <v>1872.9362639999999</v>
      </c>
      <c r="F9">
        <v>151.62397176000002</v>
      </c>
      <c r="G9">
        <v>155.68168069999999</v>
      </c>
      <c r="H9">
        <f t="shared" si="0"/>
        <v>153.65282623000002</v>
      </c>
      <c r="I9">
        <v>247.72807030701799</v>
      </c>
      <c r="J9">
        <v>248.04347852173899</v>
      </c>
      <c r="K9">
        <v>0.18736263933955999</v>
      </c>
      <c r="M9">
        <v>64.353032249999984</v>
      </c>
      <c r="P9" s="22"/>
      <c r="Q9">
        <v>2005</v>
      </c>
      <c r="R9">
        <v>32.293358824999999</v>
      </c>
      <c r="S9">
        <v>12.414453525000001</v>
      </c>
      <c r="T9">
        <f t="shared" si="1"/>
        <v>22.353906174999999</v>
      </c>
      <c r="U9">
        <v>2005</v>
      </c>
      <c r="V9">
        <v>47.628148639999999</v>
      </c>
    </row>
    <row r="10" spans="1:22" x14ac:dyDescent="0.35">
      <c r="A10">
        <v>2006</v>
      </c>
      <c r="B10">
        <v>0.44187247000000002</v>
      </c>
      <c r="C10" s="11">
        <v>1.0162327272727301</v>
      </c>
      <c r="D10">
        <v>1812.2157566666699</v>
      </c>
      <c r="E10">
        <v>1869.681808</v>
      </c>
      <c r="F10">
        <v>155.29803932000002</v>
      </c>
      <c r="G10">
        <v>152.02676880000001</v>
      </c>
      <c r="H10">
        <f t="shared" si="0"/>
        <v>153.66240406000003</v>
      </c>
      <c r="I10">
        <v>256.59401722222202</v>
      </c>
      <c r="J10">
        <v>256.684615692308</v>
      </c>
      <c r="K10">
        <v>0.19617977278314599</v>
      </c>
      <c r="M10">
        <v>53.450344900000005</v>
      </c>
      <c r="P10" s="22"/>
      <c r="Q10">
        <v>2006</v>
      </c>
      <c r="R10">
        <v>30.365625399999999</v>
      </c>
      <c r="S10">
        <v>12.906641019999999</v>
      </c>
      <c r="T10">
        <f t="shared" si="1"/>
        <v>21.636133209999997</v>
      </c>
      <c r="U10">
        <v>2006</v>
      </c>
      <c r="V10">
        <v>30.929004033333332</v>
      </c>
    </row>
    <row r="11" spans="1:22" x14ac:dyDescent="0.35">
      <c r="A11">
        <v>2007</v>
      </c>
      <c r="B11">
        <v>0.49782159175000001</v>
      </c>
      <c r="C11" s="11">
        <v>1.29446192815474</v>
      </c>
      <c r="D11">
        <v>1813.5265062963001</v>
      </c>
      <c r="E11">
        <v>1874.8641009999999</v>
      </c>
      <c r="F11">
        <v>155.32635656756753</v>
      </c>
      <c r="G11">
        <v>145.69519500000001</v>
      </c>
      <c r="H11">
        <f t="shared" si="0"/>
        <v>150.51077578378377</v>
      </c>
      <c r="I11">
        <v>249.636440601695</v>
      </c>
      <c r="J11">
        <v>249.814285915966</v>
      </c>
      <c r="K11">
        <v>0.137236843292105</v>
      </c>
      <c r="M11">
        <v>58.095011749999998</v>
      </c>
      <c r="P11" s="22"/>
      <c r="Q11">
        <v>2007</v>
      </c>
      <c r="R11">
        <v>29.060937899999999</v>
      </c>
      <c r="S11">
        <v>12.205469150000001</v>
      </c>
      <c r="T11">
        <f t="shared" si="1"/>
        <v>20.633203524999999</v>
      </c>
      <c r="U11">
        <v>2007</v>
      </c>
      <c r="V11">
        <v>33.168583699999999</v>
      </c>
    </row>
    <row r="12" spans="1:22" x14ac:dyDescent="0.35">
      <c r="A12">
        <v>2008</v>
      </c>
      <c r="B12">
        <v>0.50648500775000005</v>
      </c>
      <c r="C12" s="11">
        <v>1.5902311539674701</v>
      </c>
      <c r="D12">
        <v>1836.64572791667</v>
      </c>
      <c r="E12">
        <v>1867.49783</v>
      </c>
      <c r="F12">
        <v>152.98636367857145</v>
      </c>
      <c r="G12">
        <v>138.64380030000001</v>
      </c>
      <c r="H12">
        <f t="shared" si="0"/>
        <v>145.81508198928572</v>
      </c>
      <c r="I12">
        <v>251.28155412621399</v>
      </c>
      <c r="J12">
        <v>252.08037332710299</v>
      </c>
      <c r="K12">
        <v>3.3220335822033903E-2</v>
      </c>
      <c r="M12">
        <v>66.147842449999999</v>
      </c>
      <c r="P12" s="22"/>
      <c r="Q12">
        <v>2008</v>
      </c>
      <c r="R12">
        <v>32.168358824999999</v>
      </c>
      <c r="S12">
        <v>13.346094150000001</v>
      </c>
      <c r="T12">
        <f t="shared" si="1"/>
        <v>22.757226487499999</v>
      </c>
      <c r="U12">
        <v>2008</v>
      </c>
      <c r="V12">
        <v>82.401315133333341</v>
      </c>
    </row>
    <row r="13" spans="1:22" x14ac:dyDescent="0.35">
      <c r="A13">
        <v>2009</v>
      </c>
      <c r="B13">
        <v>0.44365812075</v>
      </c>
      <c r="C13" s="11">
        <v>1.5055906354234401</v>
      </c>
      <c r="D13">
        <v>1817.40948190476</v>
      </c>
      <c r="E13">
        <v>1857.3233049999999</v>
      </c>
      <c r="F13">
        <v>151.14475149999996</v>
      </c>
      <c r="G13">
        <v>134.59357439999999</v>
      </c>
      <c r="H13">
        <f t="shared" si="0"/>
        <v>142.86916294999997</v>
      </c>
      <c r="I13">
        <v>265.73835567123302</v>
      </c>
      <c r="J13">
        <v>265.79066750666698</v>
      </c>
      <c r="K13">
        <v>0.19770833367708299</v>
      </c>
      <c r="M13">
        <v>63.450099349999995</v>
      </c>
      <c r="P13" s="22"/>
      <c r="Q13">
        <v>2009</v>
      </c>
      <c r="R13">
        <v>29.760156174999999</v>
      </c>
      <c r="S13">
        <v>12.473047269999999</v>
      </c>
      <c r="T13">
        <f t="shared" si="1"/>
        <v>21.1166017225</v>
      </c>
      <c r="U13">
        <v>2009</v>
      </c>
      <c r="V13">
        <v>38.421159433333337</v>
      </c>
    </row>
    <row r="14" spans="1:22" x14ac:dyDescent="0.35">
      <c r="A14">
        <v>2010</v>
      </c>
      <c r="B14">
        <v>0.43689247225</v>
      </c>
      <c r="C14" s="11">
        <v>1.9036901150074099</v>
      </c>
      <c r="D14">
        <v>1826.7670547619</v>
      </c>
      <c r="E14">
        <v>1865.4973239999999</v>
      </c>
      <c r="F14">
        <v>153.51785504166668</v>
      </c>
      <c r="G14">
        <v>137.8596211</v>
      </c>
      <c r="H14">
        <f t="shared" si="0"/>
        <v>145.68873807083332</v>
      </c>
      <c r="I14">
        <v>259.76428614285697</v>
      </c>
      <c r="J14">
        <v>259.91232987671202</v>
      </c>
      <c r="K14">
        <v>-4.7755104510204101E-2</v>
      </c>
      <c r="M14">
        <v>60.293216225000002</v>
      </c>
      <c r="P14" s="22"/>
      <c r="Q14">
        <v>2010</v>
      </c>
      <c r="R14">
        <v>30.875390074999999</v>
      </c>
      <c r="S14">
        <v>12.379297269999999</v>
      </c>
      <c r="T14">
        <f t="shared" si="1"/>
        <v>21.627343672499997</v>
      </c>
      <c r="U14">
        <v>2010</v>
      </c>
      <c r="V14">
        <v>58.510939266666668</v>
      </c>
    </row>
    <row r="15" spans="1:22" x14ac:dyDescent="0.35">
      <c r="A15">
        <v>2011</v>
      </c>
      <c r="B15">
        <v>0.51066770399999994</v>
      </c>
      <c r="C15" s="11">
        <v>1.7230672206558799</v>
      </c>
      <c r="D15">
        <v>1836.8342103571399</v>
      </c>
      <c r="E15">
        <v>1868.407708</v>
      </c>
      <c r="F15">
        <v>152.65308311999999</v>
      </c>
      <c r="G15">
        <v>133.89095940000001</v>
      </c>
      <c r="H15">
        <f t="shared" si="0"/>
        <v>143.27202126</v>
      </c>
      <c r="I15">
        <v>259.19148920212803</v>
      </c>
      <c r="J15">
        <v>259.34257387128702</v>
      </c>
      <c r="K15">
        <v>6.3600001099999998E-2</v>
      </c>
      <c r="M15">
        <v>64.309722999999991</v>
      </c>
      <c r="P15" s="22"/>
      <c r="Q15">
        <v>2011</v>
      </c>
      <c r="R15">
        <v>28.863672274999999</v>
      </c>
      <c r="S15">
        <v>12.432031650000001</v>
      </c>
      <c r="T15">
        <f t="shared" si="1"/>
        <v>20.647851962499999</v>
      </c>
      <c r="U15">
        <v>2011</v>
      </c>
      <c r="V15">
        <v>34.132886612</v>
      </c>
    </row>
    <row r="16" spans="1:22" x14ac:dyDescent="0.35">
      <c r="A16">
        <v>2012</v>
      </c>
      <c r="B16">
        <v>0.46654281750000004</v>
      </c>
      <c r="C16" s="11">
        <v>1.88801557671353</v>
      </c>
      <c r="D16">
        <v>1848.2578213793099</v>
      </c>
      <c r="E16">
        <v>1879.1223950000001</v>
      </c>
      <c r="F16">
        <v>155.42221576666668</v>
      </c>
      <c r="G16">
        <v>127.0997857</v>
      </c>
      <c r="H16">
        <f t="shared" si="0"/>
        <v>141.26100073333333</v>
      </c>
      <c r="I16">
        <v>248.30219780219801</v>
      </c>
      <c r="J16">
        <v>248.08105291579</v>
      </c>
      <c r="K16">
        <v>7.0317461870158707E-2</v>
      </c>
      <c r="M16">
        <v>69.609621199999992</v>
      </c>
      <c r="P16" s="22"/>
      <c r="Q16">
        <v>2012</v>
      </c>
      <c r="R16">
        <v>28.705469149999999</v>
      </c>
      <c r="S16">
        <v>11.78945352</v>
      </c>
      <c r="T16">
        <f t="shared" si="1"/>
        <v>20.247461335000001</v>
      </c>
      <c r="U16">
        <v>2012</v>
      </c>
      <c r="V16">
        <v>80.390053749999993</v>
      </c>
    </row>
    <row r="17" spans="1:22" x14ac:dyDescent="0.35">
      <c r="A17">
        <v>2013</v>
      </c>
      <c r="B17">
        <v>0.53030420849999993</v>
      </c>
      <c r="C17" s="11">
        <v>2.1393698345222698</v>
      </c>
      <c r="D17">
        <v>1840.6659366666699</v>
      </c>
      <c r="E17">
        <v>1865.603468</v>
      </c>
      <c r="F17">
        <v>149.72888054838705</v>
      </c>
      <c r="G17">
        <v>130.2786528</v>
      </c>
      <c r="H17">
        <f t="shared" si="0"/>
        <v>140.00376667419351</v>
      </c>
      <c r="I17">
        <v>262.45617832584298</v>
      </c>
      <c r="J17">
        <v>262.28912984782602</v>
      </c>
      <c r="K17">
        <v>1.13207538679248E-3</v>
      </c>
      <c r="M17">
        <v>63.747578724999997</v>
      </c>
      <c r="P17" s="22"/>
      <c r="Q17">
        <v>2013</v>
      </c>
      <c r="R17">
        <v>28.035547274999999</v>
      </c>
      <c r="S17">
        <v>12.055078525000001</v>
      </c>
      <c r="T17">
        <f t="shared" si="1"/>
        <v>20.045312899999999</v>
      </c>
      <c r="U17">
        <v>2013</v>
      </c>
      <c r="V17">
        <v>46.321627819999996</v>
      </c>
    </row>
    <row r="18" spans="1:22" x14ac:dyDescent="0.35">
      <c r="A18">
        <v>2014</v>
      </c>
      <c r="B18">
        <v>0.48490641275000002</v>
      </c>
      <c r="C18" s="11">
        <v>2.3488323855288402</v>
      </c>
      <c r="D18">
        <v>1843.4366209375</v>
      </c>
      <c r="E18">
        <v>1877.856751</v>
      </c>
      <c r="F18">
        <v>151.86850694594588</v>
      </c>
      <c r="G18">
        <v>131.45071709999999</v>
      </c>
      <c r="H18">
        <f t="shared" si="0"/>
        <v>141.65961202297294</v>
      </c>
      <c r="I18">
        <v>265.455696012658</v>
      </c>
      <c r="J18">
        <v>265.75000054878097</v>
      </c>
      <c r="K18">
        <v>7.7749997937999998E-2</v>
      </c>
      <c r="M18">
        <v>77.134069074999999</v>
      </c>
      <c r="P18" s="22"/>
      <c r="Q18">
        <v>2014</v>
      </c>
      <c r="R18">
        <v>29.391015549999999</v>
      </c>
      <c r="S18">
        <v>11.713281640000002</v>
      </c>
      <c r="T18">
        <f t="shared" si="1"/>
        <v>20.552148594999998</v>
      </c>
      <c r="U18">
        <v>2014</v>
      </c>
      <c r="V18">
        <v>35.403237539999999</v>
      </c>
    </row>
    <row r="19" spans="1:22" x14ac:dyDescent="0.35">
      <c r="A19">
        <v>2015</v>
      </c>
      <c r="B19">
        <v>0.57408229275</v>
      </c>
      <c r="C19" s="11">
        <v>2.0352835314679298</v>
      </c>
      <c r="D19">
        <v>1847.2492228125</v>
      </c>
      <c r="E19">
        <v>1875.9553000000001</v>
      </c>
      <c r="F19">
        <v>154.57838096969695</v>
      </c>
      <c r="G19">
        <v>139.9367081</v>
      </c>
      <c r="H19">
        <f t="shared" si="0"/>
        <v>147.25754453484848</v>
      </c>
      <c r="I19">
        <v>261.87499981249999</v>
      </c>
      <c r="J19">
        <v>262.04197634567902</v>
      </c>
      <c r="K19">
        <v>-4.7999997479428597E-2</v>
      </c>
      <c r="M19">
        <v>62.627974025</v>
      </c>
      <c r="P19" s="22"/>
      <c r="Q19">
        <v>2015</v>
      </c>
      <c r="R19">
        <v>31.164452574999999</v>
      </c>
      <c r="S19">
        <v>13.621484774999999</v>
      </c>
      <c r="T19">
        <f t="shared" si="1"/>
        <v>22.392968674999999</v>
      </c>
      <c r="U19">
        <v>2015</v>
      </c>
      <c r="V19">
        <v>34.330451933333336</v>
      </c>
    </row>
    <row r="20" spans="1:22" x14ac:dyDescent="0.35">
      <c r="A20">
        <v>2016</v>
      </c>
      <c r="B20">
        <v>0.53545202300000005</v>
      </c>
      <c r="C20" s="11">
        <v>1.5902060971845999</v>
      </c>
      <c r="D20">
        <v>1860.3459459374999</v>
      </c>
      <c r="E20">
        <v>1880.5363460000001</v>
      </c>
      <c r="F20">
        <v>153.17446331034483</v>
      </c>
      <c r="G20">
        <v>129.49541479999999</v>
      </c>
      <c r="H20">
        <f t="shared" si="0"/>
        <v>141.33493905517241</v>
      </c>
      <c r="I20">
        <v>251.06933249333301</v>
      </c>
      <c r="J20">
        <v>251.39605428947399</v>
      </c>
      <c r="K20">
        <v>0.201904762078571</v>
      </c>
      <c r="M20">
        <v>81.925026400000007</v>
      </c>
      <c r="P20" s="22"/>
      <c r="Q20">
        <v>2016</v>
      </c>
      <c r="R20">
        <v>29.416406174999999</v>
      </c>
      <c r="S20">
        <v>12.758203525000001</v>
      </c>
      <c r="T20">
        <f t="shared" si="1"/>
        <v>21.087304849999999</v>
      </c>
      <c r="U20">
        <v>2016</v>
      </c>
      <c r="V20">
        <v>43.262652875000001</v>
      </c>
    </row>
    <row r="21" spans="1:22" x14ac:dyDescent="0.35">
      <c r="A21">
        <v>2017</v>
      </c>
      <c r="B21">
        <v>0.4579881355</v>
      </c>
      <c r="C21" s="11">
        <v>2.4076447904020601</v>
      </c>
      <c r="D21">
        <v>1862.4705256249999</v>
      </c>
      <c r="E21">
        <v>1886.7785510000001</v>
      </c>
      <c r="F21">
        <v>154.75610589655179</v>
      </c>
      <c r="G21">
        <v>127.59011479999999</v>
      </c>
      <c r="H21">
        <f t="shared" si="0"/>
        <v>141.17311034827588</v>
      </c>
      <c r="I21">
        <v>265.63999919999998</v>
      </c>
      <c r="J21">
        <v>266.00000113924102</v>
      </c>
      <c r="K21">
        <v>3.9130416939130398E-3</v>
      </c>
      <c r="M21">
        <v>67.396702899999994</v>
      </c>
      <c r="P21" s="22"/>
      <c r="Q21">
        <v>2017</v>
      </c>
      <c r="R21">
        <v>30.662499924999999</v>
      </c>
      <c r="S21">
        <v>12.471094145</v>
      </c>
      <c r="T21">
        <f t="shared" si="1"/>
        <v>21.566797035</v>
      </c>
      <c r="U21">
        <v>2017</v>
      </c>
      <c r="V21">
        <v>33.2847309</v>
      </c>
    </row>
    <row r="22" spans="1:22" x14ac:dyDescent="0.35">
      <c r="A22">
        <v>2018</v>
      </c>
      <c r="B22">
        <v>0.53177699449999993</v>
      </c>
      <c r="C22" s="11">
        <v>2.35696650329808</v>
      </c>
      <c r="D22">
        <v>1868.3936582758599</v>
      </c>
      <c r="E22">
        <v>1878.8129080000001</v>
      </c>
      <c r="F22">
        <v>151.18970506451618</v>
      </c>
      <c r="G22">
        <v>118.8255502</v>
      </c>
      <c r="H22">
        <f t="shared" si="0"/>
        <v>135.00762763225808</v>
      </c>
      <c r="I22">
        <v>243.30526331578901</v>
      </c>
      <c r="J22">
        <v>243.546153346154</v>
      </c>
      <c r="K22">
        <v>0.12720930179581399</v>
      </c>
      <c r="M22">
        <v>67.187991925000006</v>
      </c>
      <c r="P22" s="22"/>
      <c r="Q22">
        <v>2018</v>
      </c>
      <c r="R22">
        <v>29.580468674999999</v>
      </c>
      <c r="S22">
        <v>12.084375390000002</v>
      </c>
      <c r="T22">
        <f t="shared" si="1"/>
        <v>20.832422032499998</v>
      </c>
      <c r="U22">
        <v>2018</v>
      </c>
      <c r="V22">
        <v>38.513030049999998</v>
      </c>
    </row>
    <row r="23" spans="1:22" x14ac:dyDescent="0.35">
      <c r="A23">
        <v>2019</v>
      </c>
      <c r="B23">
        <v>0.58870242525000005</v>
      </c>
      <c r="C23" s="11">
        <v>2.7039886826305999</v>
      </c>
      <c r="D23">
        <v>1869.82181117647</v>
      </c>
      <c r="E23">
        <v>1869.5265879999999</v>
      </c>
      <c r="F23">
        <v>151.86942032258065</v>
      </c>
      <c r="G23">
        <v>125.4306613</v>
      </c>
      <c r="H23">
        <f t="shared" si="0"/>
        <v>138.65004081129032</v>
      </c>
      <c r="I23">
        <v>269.23703625925901</v>
      </c>
      <c r="J23">
        <v>268.951219512195</v>
      </c>
      <c r="K23">
        <v>8.83333325E-2</v>
      </c>
      <c r="M23">
        <v>63.574427325000009</v>
      </c>
      <c r="P23" s="22"/>
      <c r="Q23">
        <v>2019</v>
      </c>
      <c r="R23">
        <v>27.332422274999999</v>
      </c>
      <c r="S23">
        <v>12.492578524999999</v>
      </c>
      <c r="T23">
        <f t="shared" si="1"/>
        <v>19.912500399999999</v>
      </c>
      <c r="U23">
        <v>2019</v>
      </c>
      <c r="V23">
        <v>50.647834766666669</v>
      </c>
    </row>
    <row r="24" spans="1:22" x14ac:dyDescent="0.35">
      <c r="A24">
        <v>2020</v>
      </c>
      <c r="B24">
        <v>0.47187590600000001</v>
      </c>
      <c r="C24" s="11">
        <v>2.3863745587723502</v>
      </c>
      <c r="D24">
        <v>1884.7993375757601</v>
      </c>
      <c r="E24">
        <v>1880.340279</v>
      </c>
      <c r="F24">
        <v>152.10109546153848</v>
      </c>
      <c r="G24">
        <v>126.27617480000001</v>
      </c>
      <c r="H24">
        <f t="shared" si="0"/>
        <v>139.18863513076923</v>
      </c>
      <c r="I24">
        <v>263.97922050649402</v>
      </c>
      <c r="J24">
        <v>264.01794864102601</v>
      </c>
      <c r="K24">
        <v>0.13547619071952399</v>
      </c>
      <c r="M24">
        <v>63.174377649999997</v>
      </c>
      <c r="P24" s="22"/>
      <c r="Q24">
        <v>2020</v>
      </c>
      <c r="R24">
        <v>29.789453049999999</v>
      </c>
      <c r="S24">
        <v>12.340234775000001</v>
      </c>
      <c r="T24">
        <f t="shared" si="1"/>
        <v>21.064843912499999</v>
      </c>
      <c r="U24">
        <v>2020</v>
      </c>
      <c r="V24">
        <v>35.922108649999998</v>
      </c>
    </row>
    <row r="25" spans="1:22" x14ac:dyDescent="0.35">
      <c r="P25" s="22"/>
    </row>
  </sheetData>
  <mergeCells count="5">
    <mergeCell ref="A1:N1"/>
    <mergeCell ref="P1:P25"/>
    <mergeCell ref="Q1:S1"/>
    <mergeCell ref="Q2:S2"/>
    <mergeCell ref="U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A60F-3248-4442-8F13-52E77063897F}">
  <dimension ref="A1:T25"/>
  <sheetViews>
    <sheetView topLeftCell="A8" workbookViewId="0">
      <selection activeCell="F3" sqref="F3"/>
    </sheetView>
  </sheetViews>
  <sheetFormatPr defaultRowHeight="14.5" x14ac:dyDescent="0.35"/>
  <sheetData>
    <row r="1" spans="1:20" x14ac:dyDescent="0.35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N1" s="22" t="s">
        <v>13</v>
      </c>
      <c r="O1" s="23" t="s">
        <v>5</v>
      </c>
      <c r="P1" s="23"/>
      <c r="Q1" s="23"/>
      <c r="R1" s="14"/>
      <c r="S1" s="3" t="s">
        <v>11</v>
      </c>
      <c r="T1" s="3"/>
    </row>
    <row r="2" spans="1:20" x14ac:dyDescent="0.35">
      <c r="A2" s="12"/>
      <c r="B2" s="12"/>
      <c r="C2" s="12"/>
      <c r="D2" s="12" t="s">
        <v>17</v>
      </c>
      <c r="E2" s="12" t="s">
        <v>17</v>
      </c>
      <c r="F2" s="12" t="s">
        <v>109</v>
      </c>
      <c r="G2" s="12" t="s">
        <v>45</v>
      </c>
      <c r="H2" s="12"/>
      <c r="I2" s="12"/>
      <c r="J2" s="12" t="s">
        <v>19</v>
      </c>
      <c r="K2" s="12"/>
      <c r="L2" s="12" t="s">
        <v>17</v>
      </c>
      <c r="N2" s="22"/>
      <c r="O2" s="24" t="s">
        <v>81</v>
      </c>
      <c r="P2" s="24"/>
      <c r="Q2" s="24"/>
      <c r="R2" s="15" t="s">
        <v>119</v>
      </c>
      <c r="S2" s="24" t="s">
        <v>12</v>
      </c>
      <c r="T2" s="24"/>
    </row>
    <row r="3" spans="1:20" x14ac:dyDescent="0.35">
      <c r="A3" s="12" t="s">
        <v>0</v>
      </c>
      <c r="B3" s="12" t="s">
        <v>21</v>
      </c>
      <c r="C3" s="12" t="s">
        <v>14</v>
      </c>
      <c r="D3" s="12" t="s">
        <v>118</v>
      </c>
      <c r="E3" s="12" t="s">
        <v>24</v>
      </c>
      <c r="F3" s="18" t="s">
        <v>110</v>
      </c>
      <c r="G3" s="12" t="s">
        <v>80</v>
      </c>
      <c r="H3" s="12" t="s">
        <v>75</v>
      </c>
      <c r="I3" s="12" t="s">
        <v>26</v>
      </c>
      <c r="J3" s="12" t="s">
        <v>78</v>
      </c>
      <c r="K3" s="12" t="s">
        <v>28</v>
      </c>
      <c r="L3" s="12" t="s">
        <v>29</v>
      </c>
      <c r="N3" s="22"/>
      <c r="O3" t="s">
        <v>2</v>
      </c>
      <c r="P3" t="s">
        <v>3</v>
      </c>
      <c r="Q3" t="s">
        <v>4</v>
      </c>
      <c r="R3" s="19" t="s">
        <v>114</v>
      </c>
    </row>
    <row r="4" spans="1:20" x14ac:dyDescent="0.35">
      <c r="A4">
        <v>2000</v>
      </c>
      <c r="B4">
        <v>0.38128294774999999</v>
      </c>
      <c r="C4">
        <v>0.82</v>
      </c>
      <c r="G4">
        <v>270.4549715</v>
      </c>
      <c r="I4">
        <v>29.254666125</v>
      </c>
      <c r="J4">
        <v>179.42395400000001</v>
      </c>
      <c r="K4">
        <v>5.0430875049999999</v>
      </c>
      <c r="L4">
        <v>106.368953725</v>
      </c>
      <c r="N4" s="22"/>
      <c r="O4">
        <v>2000</v>
      </c>
      <c r="S4">
        <v>2000</v>
      </c>
      <c r="T4">
        <v>43.725337975000002</v>
      </c>
    </row>
    <row r="5" spans="1:20" x14ac:dyDescent="0.35">
      <c r="A5">
        <v>2001</v>
      </c>
      <c r="B5">
        <v>0.34884255749999998</v>
      </c>
      <c r="C5">
        <v>0.79</v>
      </c>
      <c r="G5">
        <v>274.55578600000001</v>
      </c>
      <c r="I5">
        <v>28.970002074999996</v>
      </c>
      <c r="J5">
        <v>174.15000925000001</v>
      </c>
      <c r="K5">
        <v>5.5404122400000002</v>
      </c>
      <c r="L5">
        <v>110.225273125</v>
      </c>
      <c r="N5" s="22"/>
      <c r="O5">
        <v>2001</v>
      </c>
      <c r="S5">
        <v>2001</v>
      </c>
      <c r="T5">
        <v>30.035896141666669</v>
      </c>
    </row>
    <row r="6" spans="1:20" x14ac:dyDescent="0.35">
      <c r="A6">
        <v>2002</v>
      </c>
      <c r="B6">
        <v>0.48997117549999997</v>
      </c>
      <c r="C6">
        <v>0.52</v>
      </c>
      <c r="D6">
        <v>1861.3645799999999</v>
      </c>
      <c r="E6">
        <v>1867.88384</v>
      </c>
      <c r="F6">
        <f>AVERAGE(D6:E6)</f>
        <v>1864.6242099999999</v>
      </c>
      <c r="G6">
        <v>269.93352500000003</v>
      </c>
      <c r="H6">
        <v>288.59375</v>
      </c>
      <c r="I6">
        <v>34.908272650000001</v>
      </c>
      <c r="J6">
        <v>194.34869349999997</v>
      </c>
      <c r="K6">
        <v>5.9469471550000002</v>
      </c>
      <c r="L6">
        <v>107.44593635</v>
      </c>
      <c r="N6" s="22"/>
      <c r="O6">
        <v>2002</v>
      </c>
      <c r="S6">
        <v>2002</v>
      </c>
      <c r="T6">
        <v>32.167098525</v>
      </c>
    </row>
    <row r="7" spans="1:20" x14ac:dyDescent="0.35">
      <c r="A7">
        <v>2003</v>
      </c>
      <c r="B7">
        <v>0.40353526150000002</v>
      </c>
      <c r="C7">
        <v>0.72</v>
      </c>
      <c r="D7">
        <v>1847.6275700000001</v>
      </c>
      <c r="E7">
        <v>1805.83447</v>
      </c>
      <c r="F7">
        <f t="shared" ref="F7:F24" si="0">AVERAGE(D7:E7)</f>
        <v>1826.7310200000002</v>
      </c>
      <c r="G7">
        <v>276.22489150000001</v>
      </c>
      <c r="H7">
        <v>293.46875</v>
      </c>
      <c r="I7">
        <v>29.210752275000001</v>
      </c>
      <c r="J7">
        <v>174.78575524999999</v>
      </c>
      <c r="K7">
        <v>5.8840314825000002</v>
      </c>
      <c r="L7">
        <v>110.37371444999999</v>
      </c>
      <c r="N7" s="22"/>
      <c r="O7">
        <v>2003</v>
      </c>
      <c r="P7">
        <v>34.849999449999999</v>
      </c>
      <c r="Q7">
        <v>25.125391024999999</v>
      </c>
      <c r="R7">
        <f>AVERAGE(P7:Q7)</f>
        <v>29.987695237499999</v>
      </c>
      <c r="S7">
        <v>2003</v>
      </c>
      <c r="T7">
        <v>42.502061460000007</v>
      </c>
    </row>
    <row r="8" spans="1:20" x14ac:dyDescent="0.35">
      <c r="A8">
        <v>2004</v>
      </c>
      <c r="B8">
        <v>0.43098396049999999</v>
      </c>
      <c r="C8">
        <v>1.1399999999999999</v>
      </c>
      <c r="D8">
        <v>1862.4123199999999</v>
      </c>
      <c r="E8">
        <v>1829.46678</v>
      </c>
      <c r="F8">
        <f t="shared" si="0"/>
        <v>1845.9395500000001</v>
      </c>
      <c r="G8">
        <v>273.89123524999997</v>
      </c>
      <c r="H8">
        <v>292.734375</v>
      </c>
      <c r="I8">
        <v>32.4885302</v>
      </c>
      <c r="J8">
        <v>187.71254349999998</v>
      </c>
      <c r="K8">
        <v>6.7637916374999998</v>
      </c>
      <c r="L8">
        <v>105.01343912499999</v>
      </c>
      <c r="N8" s="22"/>
      <c r="O8">
        <v>2004</v>
      </c>
      <c r="P8">
        <v>34.224998974999998</v>
      </c>
      <c r="Q8">
        <v>24.461328524999999</v>
      </c>
      <c r="R8">
        <f t="shared" ref="R8:R24" si="1">AVERAGE(P8:Q8)</f>
        <v>29.343163749999999</v>
      </c>
      <c r="S8">
        <v>2004</v>
      </c>
      <c r="T8">
        <v>50.229161060000003</v>
      </c>
    </row>
    <row r="9" spans="1:20" x14ac:dyDescent="0.35">
      <c r="A9">
        <v>2005</v>
      </c>
      <c r="B9">
        <v>0.3951470775</v>
      </c>
      <c r="C9">
        <v>0.59</v>
      </c>
      <c r="D9">
        <v>1811.3059900000001</v>
      </c>
      <c r="E9">
        <v>1880.3402799999999</v>
      </c>
      <c r="F9">
        <f t="shared" si="0"/>
        <v>1845.8231350000001</v>
      </c>
      <c r="G9">
        <v>270.16818250000006</v>
      </c>
      <c r="H9">
        <v>284.4609375</v>
      </c>
      <c r="I9">
        <v>31.747857549999999</v>
      </c>
      <c r="J9">
        <v>189.86554699999999</v>
      </c>
      <c r="K9">
        <v>6.9200227774999998</v>
      </c>
      <c r="L9">
        <v>105.06372640000001</v>
      </c>
      <c r="N9" s="22"/>
      <c r="O9">
        <v>2005</v>
      </c>
      <c r="P9">
        <v>35.766015074999999</v>
      </c>
      <c r="Q9">
        <v>24.531641024999999</v>
      </c>
      <c r="R9">
        <f t="shared" si="1"/>
        <v>30.148828049999999</v>
      </c>
      <c r="S9">
        <v>2005</v>
      </c>
      <c r="T9">
        <v>47.628148639999999</v>
      </c>
    </row>
    <row r="10" spans="1:20" x14ac:dyDescent="0.35">
      <c r="A10">
        <v>2006</v>
      </c>
      <c r="B10">
        <v>0.34023275250000001</v>
      </c>
      <c r="C10">
        <v>0.74</v>
      </c>
      <c r="D10">
        <v>1839.3620800000001</v>
      </c>
      <c r="E10">
        <v>1849.60663</v>
      </c>
      <c r="F10">
        <f t="shared" si="0"/>
        <v>1844.4843550000001</v>
      </c>
      <c r="G10">
        <v>275.391075</v>
      </c>
      <c r="H10">
        <v>297.5859375</v>
      </c>
      <c r="I10">
        <v>25.157654975</v>
      </c>
      <c r="J10">
        <v>185.36115649999999</v>
      </c>
      <c r="K10">
        <v>6.0754128400000003</v>
      </c>
      <c r="L10">
        <v>106.67751312499999</v>
      </c>
      <c r="N10" s="22"/>
      <c r="O10">
        <v>2006</v>
      </c>
      <c r="P10">
        <v>31.894921799999999</v>
      </c>
      <c r="Q10">
        <v>23.953516024999999</v>
      </c>
      <c r="R10">
        <f t="shared" si="1"/>
        <v>27.924218912499999</v>
      </c>
      <c r="S10">
        <v>2006</v>
      </c>
      <c r="T10">
        <v>30.929004033333332</v>
      </c>
    </row>
    <row r="11" spans="1:20" x14ac:dyDescent="0.35">
      <c r="A11">
        <v>2007</v>
      </c>
      <c r="B11">
        <v>0.41875889924999998</v>
      </c>
      <c r="C11">
        <v>0.62</v>
      </c>
      <c r="D11">
        <v>1853.6811700000001</v>
      </c>
      <c r="E11">
        <v>1885.3461400000001</v>
      </c>
      <c r="F11">
        <f t="shared" si="0"/>
        <v>1869.5136550000002</v>
      </c>
      <c r="G11">
        <v>270.61103049999997</v>
      </c>
      <c r="H11">
        <v>282.0078125</v>
      </c>
      <c r="I11">
        <v>25.050466425</v>
      </c>
      <c r="J11">
        <v>181.81490725</v>
      </c>
      <c r="K11">
        <v>8.1925075725000003</v>
      </c>
      <c r="L11">
        <v>106.9777182</v>
      </c>
      <c r="N11" s="22"/>
      <c r="O11">
        <v>2007</v>
      </c>
      <c r="P11">
        <v>34.088280699999999</v>
      </c>
      <c r="Q11">
        <v>24.871484774999999</v>
      </c>
      <c r="R11">
        <f t="shared" si="1"/>
        <v>29.479882737499999</v>
      </c>
      <c r="S11">
        <v>2007</v>
      </c>
      <c r="T11">
        <v>33.168583699999999</v>
      </c>
    </row>
    <row r="12" spans="1:20" x14ac:dyDescent="0.35">
      <c r="A12">
        <v>2008</v>
      </c>
      <c r="B12">
        <v>0.44575905049999998</v>
      </c>
      <c r="C12">
        <v>0.79</v>
      </c>
      <c r="D12">
        <v>1854.26325</v>
      </c>
      <c r="E12">
        <v>1857.87212</v>
      </c>
      <c r="F12">
        <f t="shared" si="0"/>
        <v>1856.067685</v>
      </c>
      <c r="G12">
        <v>272.00134274999999</v>
      </c>
      <c r="H12">
        <v>287.78125</v>
      </c>
      <c r="I12">
        <v>36.528268050000001</v>
      </c>
      <c r="J12">
        <v>172.10559074999998</v>
      </c>
      <c r="K12">
        <v>9.7517689425</v>
      </c>
      <c r="L12">
        <v>109.04458810000001</v>
      </c>
      <c r="N12" s="22"/>
      <c r="O12">
        <v>2008</v>
      </c>
      <c r="P12">
        <v>30.867577574999999</v>
      </c>
      <c r="Q12">
        <v>23.572656649999999</v>
      </c>
      <c r="R12">
        <f t="shared" si="1"/>
        <v>27.220117112499999</v>
      </c>
      <c r="S12">
        <v>2008</v>
      </c>
      <c r="T12">
        <v>82.401315133333341</v>
      </c>
    </row>
    <row r="13" spans="1:20" x14ac:dyDescent="0.35">
      <c r="A13">
        <v>2009</v>
      </c>
      <c r="B13">
        <v>0.47500827899999998</v>
      </c>
      <c r="C13">
        <v>0.57999999999999996</v>
      </c>
      <c r="D13">
        <v>1890.93407</v>
      </c>
      <c r="E13">
        <v>1850.0722900000001</v>
      </c>
      <c r="F13">
        <f t="shared" si="0"/>
        <v>1870.5031800000002</v>
      </c>
      <c r="G13">
        <v>273.31288925000001</v>
      </c>
      <c r="H13">
        <v>293.0390625</v>
      </c>
      <c r="I13">
        <v>31.25770885</v>
      </c>
      <c r="J13">
        <v>201.44989375</v>
      </c>
      <c r="K13">
        <v>8.7103290175000012</v>
      </c>
      <c r="L13">
        <v>112.5641079</v>
      </c>
      <c r="N13" s="22"/>
      <c r="O13">
        <v>2009</v>
      </c>
      <c r="P13">
        <v>36.687889124999998</v>
      </c>
      <c r="Q13">
        <v>24.705469149999999</v>
      </c>
      <c r="R13">
        <f t="shared" si="1"/>
        <v>30.696679137499999</v>
      </c>
      <c r="S13">
        <v>2009</v>
      </c>
      <c r="T13">
        <v>38.421159433333337</v>
      </c>
    </row>
    <row r="14" spans="1:20" x14ac:dyDescent="0.35">
      <c r="A14">
        <v>2010</v>
      </c>
      <c r="B14">
        <v>0.44171009975000003</v>
      </c>
      <c r="C14">
        <v>0.68</v>
      </c>
      <c r="E14">
        <v>1887.7908600000001</v>
      </c>
      <c r="F14">
        <f t="shared" si="0"/>
        <v>1887.7908600000001</v>
      </c>
      <c r="G14">
        <v>272.99391149999997</v>
      </c>
      <c r="H14">
        <v>293.078125</v>
      </c>
      <c r="I14">
        <v>27.870717499999998</v>
      </c>
      <c r="J14">
        <v>186.21803274999999</v>
      </c>
      <c r="K14">
        <v>7.420900005</v>
      </c>
      <c r="L14">
        <v>109.01276577500001</v>
      </c>
      <c r="N14" s="22"/>
      <c r="O14">
        <v>2010</v>
      </c>
      <c r="P14">
        <v>36.346092724999998</v>
      </c>
      <c r="Q14">
        <v>25.531641024999999</v>
      </c>
      <c r="R14">
        <f t="shared" si="1"/>
        <v>30.938866874999999</v>
      </c>
      <c r="S14">
        <v>2010</v>
      </c>
      <c r="T14">
        <v>58.510939266666668</v>
      </c>
    </row>
    <row r="15" spans="1:20" x14ac:dyDescent="0.35">
      <c r="A15">
        <v>2011</v>
      </c>
      <c r="B15">
        <v>0.40498849749999999</v>
      </c>
      <c r="C15">
        <v>0.92</v>
      </c>
      <c r="D15">
        <v>1897.9189899999999</v>
      </c>
      <c r="E15">
        <v>1829.11754</v>
      </c>
      <c r="F15">
        <f t="shared" si="0"/>
        <v>1863.5182649999999</v>
      </c>
      <c r="G15">
        <v>270.08653250000003</v>
      </c>
      <c r="H15">
        <v>283.96875</v>
      </c>
      <c r="I15">
        <v>29.055922800000001</v>
      </c>
      <c r="J15">
        <v>180.65787524999999</v>
      </c>
      <c r="K15">
        <v>10.156584687500001</v>
      </c>
      <c r="L15">
        <v>114.16617574999999</v>
      </c>
      <c r="N15" s="22"/>
      <c r="O15">
        <v>2011</v>
      </c>
      <c r="P15">
        <v>32.449608824999999</v>
      </c>
      <c r="Q15">
        <v>22.719141024999999</v>
      </c>
      <c r="R15">
        <f t="shared" si="1"/>
        <v>27.584374924999999</v>
      </c>
      <c r="S15">
        <v>2011</v>
      </c>
      <c r="T15">
        <v>34.132886612</v>
      </c>
    </row>
    <row r="16" spans="1:20" x14ac:dyDescent="0.35">
      <c r="A16">
        <v>2012</v>
      </c>
      <c r="B16">
        <v>0.47035416949999997</v>
      </c>
      <c r="C16">
        <v>0.87</v>
      </c>
      <c r="D16">
        <v>1882.9014199999999</v>
      </c>
      <c r="E16">
        <v>1887.3252</v>
      </c>
      <c r="F16">
        <f t="shared" si="0"/>
        <v>1885.11331</v>
      </c>
      <c r="G16">
        <v>273.63350675000004</v>
      </c>
      <c r="H16">
        <v>290.3046875</v>
      </c>
      <c r="I16">
        <v>33.985565225000002</v>
      </c>
      <c r="J16">
        <v>196.61897275000001</v>
      </c>
      <c r="K16">
        <v>8.211727852500001</v>
      </c>
      <c r="L16">
        <v>106.58688162500002</v>
      </c>
      <c r="N16" s="22"/>
      <c r="O16">
        <v>2012</v>
      </c>
      <c r="P16">
        <v>34.572656174999999</v>
      </c>
      <c r="Q16">
        <v>23.949609774999999</v>
      </c>
      <c r="R16">
        <f t="shared" si="1"/>
        <v>29.261132974999999</v>
      </c>
      <c r="S16">
        <v>2012</v>
      </c>
      <c r="T16">
        <v>80.390053749999993</v>
      </c>
    </row>
    <row r="17" spans="1:20" x14ac:dyDescent="0.35">
      <c r="A17">
        <v>2013</v>
      </c>
      <c r="B17">
        <v>0.39550656049999999</v>
      </c>
      <c r="C17">
        <v>1</v>
      </c>
      <c r="D17">
        <v>1877.66273</v>
      </c>
      <c r="E17">
        <v>1900.4801299999999</v>
      </c>
      <c r="F17">
        <f t="shared" si="0"/>
        <v>1889.07143</v>
      </c>
      <c r="G17">
        <v>275.20236975</v>
      </c>
      <c r="H17">
        <v>293.703125</v>
      </c>
      <c r="I17">
        <v>24.773960549999998</v>
      </c>
      <c r="J17">
        <v>197.52439874999999</v>
      </c>
      <c r="K17">
        <v>7.0755191699999997</v>
      </c>
      <c r="L17">
        <v>108.86858174999999</v>
      </c>
      <c r="N17" s="22"/>
      <c r="O17">
        <v>2013</v>
      </c>
      <c r="P17">
        <v>32.426171324999999</v>
      </c>
      <c r="Q17">
        <v>23.529687899999999</v>
      </c>
      <c r="R17">
        <f t="shared" si="1"/>
        <v>27.977929612499999</v>
      </c>
      <c r="S17">
        <v>2013</v>
      </c>
      <c r="T17">
        <v>46.321627819999996</v>
      </c>
    </row>
    <row r="18" spans="1:20" x14ac:dyDescent="0.35">
      <c r="A18">
        <v>2014</v>
      </c>
      <c r="B18">
        <v>0.47302981475</v>
      </c>
      <c r="C18">
        <v>1.1599999999999999</v>
      </c>
      <c r="D18">
        <v>1859.61835</v>
      </c>
      <c r="E18">
        <v>1883.8327400000001</v>
      </c>
      <c r="F18">
        <f t="shared" si="0"/>
        <v>1871.725545</v>
      </c>
      <c r="G18">
        <v>274.74636099999998</v>
      </c>
      <c r="H18">
        <v>289.5390625</v>
      </c>
      <c r="I18">
        <v>34.691576900000001</v>
      </c>
      <c r="J18">
        <v>196.16801074999998</v>
      </c>
      <c r="K18">
        <v>8.3733610025000011</v>
      </c>
      <c r="L18">
        <v>104.359806175</v>
      </c>
      <c r="N18" s="22"/>
      <c r="O18">
        <v>2014</v>
      </c>
      <c r="P18">
        <v>35.615624449999999</v>
      </c>
      <c r="Q18">
        <v>24.689844149999999</v>
      </c>
      <c r="R18">
        <f t="shared" si="1"/>
        <v>30.152734299999999</v>
      </c>
      <c r="S18">
        <v>2014</v>
      </c>
      <c r="T18">
        <v>35.403237539999999</v>
      </c>
    </row>
    <row r="19" spans="1:20" x14ac:dyDescent="0.35">
      <c r="A19">
        <v>2015</v>
      </c>
      <c r="B19">
        <v>0.43930640074999999</v>
      </c>
      <c r="C19">
        <v>1.05</v>
      </c>
      <c r="D19">
        <v>1871.3762999999999</v>
      </c>
      <c r="E19">
        <v>1868.1166699999999</v>
      </c>
      <c r="F19">
        <f t="shared" si="0"/>
        <v>1869.7464849999999</v>
      </c>
      <c r="G19">
        <v>281.02705399999996</v>
      </c>
      <c r="H19">
        <v>298.3984375</v>
      </c>
      <c r="I19">
        <v>34.456396999999996</v>
      </c>
      <c r="J19">
        <v>200.89193724999998</v>
      </c>
      <c r="K19">
        <v>9.1819516424999996</v>
      </c>
      <c r="L19">
        <v>105.9049054</v>
      </c>
      <c r="N19" s="22"/>
      <c r="O19">
        <v>2015</v>
      </c>
      <c r="P19">
        <v>35.117577574999999</v>
      </c>
      <c r="Q19">
        <v>24.564844149999999</v>
      </c>
      <c r="R19">
        <f t="shared" si="1"/>
        <v>29.841210862499999</v>
      </c>
      <c r="S19">
        <v>2015</v>
      </c>
      <c r="T19">
        <v>34.330451933333336</v>
      </c>
    </row>
    <row r="20" spans="1:20" x14ac:dyDescent="0.35">
      <c r="A20">
        <v>2016</v>
      </c>
      <c r="B20">
        <v>0.39102400825</v>
      </c>
      <c r="C20">
        <v>0.83</v>
      </c>
      <c r="G20">
        <v>270.30500799999999</v>
      </c>
      <c r="H20">
        <v>278.4296875</v>
      </c>
      <c r="I20">
        <v>27.660301924999999</v>
      </c>
      <c r="J20">
        <v>176.61283850000001</v>
      </c>
      <c r="K20">
        <v>9.4038826649999994</v>
      </c>
      <c r="L20">
        <v>110.43979634999999</v>
      </c>
      <c r="N20" s="22"/>
      <c r="O20">
        <v>2016</v>
      </c>
      <c r="P20">
        <v>34.131249924999999</v>
      </c>
      <c r="Q20">
        <v>23.933984774999999</v>
      </c>
      <c r="R20">
        <f t="shared" si="1"/>
        <v>29.032617349999999</v>
      </c>
      <c r="S20">
        <v>2016</v>
      </c>
      <c r="T20">
        <v>43.262652875000001</v>
      </c>
    </row>
    <row r="21" spans="1:20" x14ac:dyDescent="0.35">
      <c r="A21">
        <v>2017</v>
      </c>
      <c r="B21">
        <v>0.45001831650000002</v>
      </c>
      <c r="C21">
        <v>0.91</v>
      </c>
      <c r="E21">
        <v>1920.38715</v>
      </c>
      <c r="F21">
        <f t="shared" si="0"/>
        <v>1920.38715</v>
      </c>
      <c r="G21">
        <v>272.16605400000003</v>
      </c>
      <c r="H21">
        <v>284.421875</v>
      </c>
      <c r="I21">
        <v>35.587373425000003</v>
      </c>
      <c r="J21">
        <v>179.60582749999998</v>
      </c>
      <c r="K21">
        <v>9.1430070074999996</v>
      </c>
      <c r="L21">
        <v>108.35698524999999</v>
      </c>
      <c r="N21" s="22"/>
      <c r="O21">
        <v>2017</v>
      </c>
      <c r="P21">
        <v>33.506249924999999</v>
      </c>
      <c r="Q21">
        <v>24.324609774999999</v>
      </c>
      <c r="R21">
        <f t="shared" si="1"/>
        <v>28.915429849999999</v>
      </c>
      <c r="S21">
        <v>2017</v>
      </c>
      <c r="T21">
        <v>33.2847309</v>
      </c>
    </row>
    <row r="22" spans="1:20" x14ac:dyDescent="0.35">
      <c r="A22">
        <v>2018</v>
      </c>
      <c r="B22">
        <v>0.41505999125000004</v>
      </c>
      <c r="C22">
        <v>0.93</v>
      </c>
      <c r="D22">
        <v>1877.6627250000001</v>
      </c>
      <c r="E22">
        <v>1899.7816400000002</v>
      </c>
      <c r="F22">
        <f t="shared" si="0"/>
        <v>1888.7221825000001</v>
      </c>
      <c r="G22">
        <v>275.73755624999995</v>
      </c>
      <c r="H22">
        <v>287.9609375</v>
      </c>
      <c r="I22">
        <v>34.833261950000001</v>
      </c>
      <c r="J22">
        <v>187.13119524999999</v>
      </c>
      <c r="K22">
        <v>9.2484114900000005</v>
      </c>
      <c r="L22">
        <v>107.78626444999999</v>
      </c>
      <c r="N22" s="22"/>
      <c r="O22">
        <v>2018</v>
      </c>
      <c r="P22">
        <v>33.598046799999999</v>
      </c>
      <c r="Q22">
        <v>23.144922274999999</v>
      </c>
      <c r="R22">
        <f t="shared" si="1"/>
        <v>28.371484537499999</v>
      </c>
      <c r="S22">
        <v>2018</v>
      </c>
      <c r="T22">
        <v>38.513030049999998</v>
      </c>
    </row>
    <row r="23" spans="1:20" x14ac:dyDescent="0.35">
      <c r="A23">
        <v>2019</v>
      </c>
      <c r="B23">
        <v>0.38403318074999998</v>
      </c>
      <c r="C23">
        <v>1.1100000000000001</v>
      </c>
      <c r="D23">
        <v>1893.1459600000001</v>
      </c>
      <c r="E23">
        <v>1880.45669</v>
      </c>
      <c r="F23">
        <f t="shared" si="0"/>
        <v>1886.8013249999999</v>
      </c>
      <c r="G23">
        <v>270.58011625</v>
      </c>
      <c r="H23">
        <v>283.640625</v>
      </c>
      <c r="I23">
        <v>28.46817085</v>
      </c>
      <c r="J23">
        <v>183.59156025000001</v>
      </c>
      <c r="K23">
        <v>7.9446567125000005</v>
      </c>
      <c r="L23">
        <v>111.13152677500001</v>
      </c>
      <c r="N23" s="22"/>
      <c r="O23">
        <v>2019</v>
      </c>
      <c r="P23">
        <v>35.295311949999999</v>
      </c>
      <c r="Q23">
        <v>25.043359774999999</v>
      </c>
      <c r="R23">
        <f t="shared" si="1"/>
        <v>30.169335862499999</v>
      </c>
      <c r="S23">
        <v>2019</v>
      </c>
      <c r="T23">
        <v>50.647834766666669</v>
      </c>
    </row>
    <row r="24" spans="1:20" x14ac:dyDescent="0.35">
      <c r="A24">
        <v>2020</v>
      </c>
      <c r="B24">
        <v>0.39790155374999997</v>
      </c>
      <c r="C24">
        <v>1.32</v>
      </c>
      <c r="E24">
        <v>1887.3252</v>
      </c>
      <c r="F24">
        <f t="shared" si="0"/>
        <v>1887.3252</v>
      </c>
      <c r="G24">
        <v>268.00014499999997</v>
      </c>
      <c r="H24">
        <v>262.3359375</v>
      </c>
      <c r="I24">
        <v>28.032456324999998</v>
      </c>
      <c r="J24">
        <v>169.57965475</v>
      </c>
      <c r="K24">
        <v>10.329245562500001</v>
      </c>
      <c r="L24">
        <v>106.111778</v>
      </c>
      <c r="N24" s="22"/>
      <c r="O24">
        <v>2020</v>
      </c>
      <c r="P24">
        <v>32.371483824999999</v>
      </c>
      <c r="Q24">
        <v>23.828516024999999</v>
      </c>
      <c r="R24">
        <f t="shared" si="1"/>
        <v>28.099999924999999</v>
      </c>
      <c r="S24">
        <v>2020</v>
      </c>
      <c r="T24">
        <v>35.922108649999998</v>
      </c>
    </row>
    <row r="25" spans="1:20" x14ac:dyDescent="0.35">
      <c r="N25" s="22"/>
    </row>
  </sheetData>
  <mergeCells count="5">
    <mergeCell ref="A1:L1"/>
    <mergeCell ref="N1:N25"/>
    <mergeCell ref="O1:Q1"/>
    <mergeCell ref="O2:Q2"/>
    <mergeCell ref="S2: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F5E5-707A-4727-84A2-629FDB147C3D}">
  <dimension ref="A1:T25"/>
  <sheetViews>
    <sheetView workbookViewId="0">
      <selection activeCell="R1" sqref="R1"/>
    </sheetView>
  </sheetViews>
  <sheetFormatPr defaultRowHeight="14.5" x14ac:dyDescent="0.35"/>
  <cols>
    <col min="14" max="14" width="8.54296875" customWidth="1"/>
  </cols>
  <sheetData>
    <row r="1" spans="1:20" x14ac:dyDescent="0.35">
      <c r="A1" s="26" t="s">
        <v>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N1" s="22" t="s">
        <v>13</v>
      </c>
      <c r="O1" s="23" t="s">
        <v>5</v>
      </c>
      <c r="P1" s="23"/>
      <c r="Q1" s="23"/>
      <c r="R1" s="20" t="s">
        <v>114</v>
      </c>
      <c r="S1" s="3" t="s">
        <v>11</v>
      </c>
      <c r="T1" s="3"/>
    </row>
    <row r="2" spans="1:20" x14ac:dyDescent="0.35">
      <c r="A2" s="12"/>
      <c r="B2" s="12"/>
      <c r="C2" s="12"/>
      <c r="D2" s="12" t="s">
        <v>17</v>
      </c>
      <c r="E2" s="12" t="s">
        <v>17</v>
      </c>
      <c r="F2" s="17" t="s">
        <v>109</v>
      </c>
      <c r="G2" s="12" t="s">
        <v>45</v>
      </c>
      <c r="H2" s="12" t="s">
        <v>75</v>
      </c>
      <c r="I2" s="12" t="s">
        <v>18</v>
      </c>
      <c r="J2" s="12" t="s">
        <v>76</v>
      </c>
      <c r="K2" s="12" t="s">
        <v>18</v>
      </c>
      <c r="L2" s="12" t="s">
        <v>17</v>
      </c>
      <c r="N2" s="22"/>
      <c r="O2" s="24" t="s">
        <v>63</v>
      </c>
      <c r="P2" s="24"/>
      <c r="Q2" s="24"/>
      <c r="R2" s="15" t="s">
        <v>113</v>
      </c>
      <c r="S2" s="24" t="s">
        <v>12</v>
      </c>
      <c r="T2" s="24"/>
    </row>
    <row r="3" spans="1:20" x14ac:dyDescent="0.35">
      <c r="A3" s="12" t="s">
        <v>0</v>
      </c>
      <c r="B3" s="12" t="s">
        <v>21</v>
      </c>
      <c r="C3" s="12" t="s">
        <v>14</v>
      </c>
      <c r="D3" s="12" t="s">
        <v>23</v>
      </c>
      <c r="E3" s="12" t="s">
        <v>24</v>
      </c>
      <c r="F3" s="17" t="s">
        <v>110</v>
      </c>
      <c r="G3" s="12" t="s">
        <v>56</v>
      </c>
      <c r="H3" s="12" t="s">
        <v>77</v>
      </c>
      <c r="I3" s="12" t="s">
        <v>26</v>
      </c>
      <c r="J3" s="12" t="s">
        <v>78</v>
      </c>
      <c r="K3" s="12" t="s">
        <v>28</v>
      </c>
      <c r="L3" s="12" t="s">
        <v>29</v>
      </c>
      <c r="N3" s="22"/>
      <c r="O3">
        <v>2000</v>
      </c>
      <c r="S3">
        <v>2000</v>
      </c>
      <c r="T3">
        <v>43.725337975000002</v>
      </c>
    </row>
    <row r="4" spans="1:20" x14ac:dyDescent="0.35">
      <c r="A4">
        <v>2000</v>
      </c>
      <c r="B4">
        <v>0.32666249549999998</v>
      </c>
      <c r="C4">
        <v>2.0499999999999998</v>
      </c>
      <c r="G4">
        <v>266.62397800000002</v>
      </c>
      <c r="I4">
        <v>27.297989599999998</v>
      </c>
      <c r="J4">
        <v>177.55613325000002</v>
      </c>
      <c r="K4">
        <v>5.0430875049999999</v>
      </c>
      <c r="L4">
        <v>113.52685932499999</v>
      </c>
      <c r="N4" s="22"/>
      <c r="O4">
        <v>2001</v>
      </c>
      <c r="S4">
        <v>2001</v>
      </c>
      <c r="T4">
        <v>30.035896141666669</v>
      </c>
    </row>
    <row r="5" spans="1:20" x14ac:dyDescent="0.35">
      <c r="A5">
        <v>2001</v>
      </c>
      <c r="B5">
        <v>0.33474073925000003</v>
      </c>
      <c r="C5">
        <v>1.46</v>
      </c>
      <c r="G5">
        <v>270.05123125</v>
      </c>
      <c r="I5">
        <v>30.046109074999997</v>
      </c>
      <c r="J5">
        <v>171.114914</v>
      </c>
      <c r="K5">
        <v>5.5404122400000002</v>
      </c>
      <c r="L5">
        <v>120.78232012500001</v>
      </c>
      <c r="N5" s="22"/>
      <c r="O5">
        <v>2002</v>
      </c>
      <c r="S5">
        <v>2002</v>
      </c>
      <c r="T5">
        <v>32.167098525</v>
      </c>
    </row>
    <row r="6" spans="1:20" x14ac:dyDescent="0.35">
      <c r="A6">
        <v>2002</v>
      </c>
      <c r="B6">
        <v>0.439386308</v>
      </c>
      <c r="C6">
        <v>2.0299999999999998</v>
      </c>
      <c r="D6">
        <v>1861.3645799999999</v>
      </c>
      <c r="E6">
        <v>1867.88384</v>
      </c>
      <c r="F6">
        <f>AVERAGE(D6:E6)</f>
        <v>1864.6242099999999</v>
      </c>
      <c r="G6">
        <v>265.994011</v>
      </c>
      <c r="H6">
        <v>284</v>
      </c>
      <c r="I6">
        <v>33.779408025000002</v>
      </c>
      <c r="J6">
        <v>183.20874750000002</v>
      </c>
      <c r="K6">
        <v>5.9469471550000002</v>
      </c>
      <c r="L6">
        <v>117.2308827</v>
      </c>
      <c r="N6" s="22"/>
      <c r="O6">
        <v>2003</v>
      </c>
      <c r="P6">
        <v>31.031640549999999</v>
      </c>
      <c r="Q6">
        <v>23.433984774999999</v>
      </c>
      <c r="R6">
        <f>AVERAGE(P6:Q6)</f>
        <v>27.232812662499999</v>
      </c>
      <c r="S6">
        <v>2003</v>
      </c>
      <c r="T6">
        <v>42.502061460000007</v>
      </c>
    </row>
    <row r="7" spans="1:20" x14ac:dyDescent="0.35">
      <c r="A7">
        <v>2003</v>
      </c>
      <c r="B7">
        <v>0.31840363875</v>
      </c>
      <c r="C7">
        <v>1.43</v>
      </c>
      <c r="D7">
        <v>1847.6275700000001</v>
      </c>
      <c r="E7">
        <v>1805.83447</v>
      </c>
      <c r="F7">
        <f t="shared" ref="F7:F24" si="0">AVERAGE(D7:E7)</f>
        <v>1826.7310200000002</v>
      </c>
      <c r="G7">
        <v>269.42271425000001</v>
      </c>
      <c r="H7">
        <v>282.6015625</v>
      </c>
      <c r="I7">
        <v>25.374400399999999</v>
      </c>
      <c r="J7">
        <v>166.13162999999997</v>
      </c>
      <c r="K7">
        <v>5.8840314825000002</v>
      </c>
      <c r="L7">
        <v>122.35390100000001</v>
      </c>
      <c r="N7" s="22"/>
      <c r="O7">
        <v>2004</v>
      </c>
      <c r="P7">
        <v>33.123436474999998</v>
      </c>
      <c r="Q7">
        <v>23.098047274999999</v>
      </c>
      <c r="R7">
        <f t="shared" ref="R7:R23" si="1">AVERAGE(P7:Q7)</f>
        <v>28.110741874999999</v>
      </c>
      <c r="S7">
        <v>2004</v>
      </c>
      <c r="T7">
        <v>50.229161060000003</v>
      </c>
    </row>
    <row r="8" spans="1:20" x14ac:dyDescent="0.35">
      <c r="A8">
        <v>2004</v>
      </c>
      <c r="B8">
        <v>0.40861861399999999</v>
      </c>
      <c r="C8">
        <v>1.9</v>
      </c>
      <c r="D8">
        <v>1862.4123199999999</v>
      </c>
      <c r="E8">
        <v>1829.46678</v>
      </c>
      <c r="F8">
        <f t="shared" si="0"/>
        <v>1845.9395500000001</v>
      </c>
      <c r="G8">
        <v>270.67640674999996</v>
      </c>
      <c r="H8">
        <v>289.828125</v>
      </c>
      <c r="I8">
        <v>32.255881699999996</v>
      </c>
      <c r="J8">
        <v>179.87601475000002</v>
      </c>
      <c r="K8">
        <v>6.7637916374999998</v>
      </c>
      <c r="L8">
        <v>114.903518625</v>
      </c>
      <c r="N8" s="22"/>
      <c r="O8">
        <v>2005</v>
      </c>
      <c r="P8">
        <v>31.877343674999999</v>
      </c>
      <c r="Q8">
        <v>23.062891024999999</v>
      </c>
      <c r="R8">
        <f t="shared" si="1"/>
        <v>27.470117349999999</v>
      </c>
      <c r="S8">
        <v>2005</v>
      </c>
      <c r="T8">
        <v>47.628148639999999</v>
      </c>
    </row>
    <row r="9" spans="1:20" x14ac:dyDescent="0.35">
      <c r="A9">
        <v>2005</v>
      </c>
      <c r="B9">
        <v>0.36037080724999998</v>
      </c>
      <c r="C9">
        <v>0.5</v>
      </c>
      <c r="D9">
        <v>1811.3059900000001</v>
      </c>
      <c r="E9">
        <v>1880.3402799999999</v>
      </c>
      <c r="F9">
        <f t="shared" si="0"/>
        <v>1845.8231350000001</v>
      </c>
      <c r="G9">
        <v>264.63990024999998</v>
      </c>
      <c r="H9">
        <v>280.5703125</v>
      </c>
      <c r="I9">
        <v>29.3974671</v>
      </c>
      <c r="J9">
        <v>177.93609600000002</v>
      </c>
      <c r="K9">
        <v>6.9200227774999998</v>
      </c>
      <c r="L9">
        <v>117.384441475</v>
      </c>
      <c r="N9" s="22"/>
      <c r="O9">
        <v>2006</v>
      </c>
      <c r="P9">
        <v>30.514062424999999</v>
      </c>
      <c r="Q9">
        <v>22.762109774999999</v>
      </c>
      <c r="R9">
        <f t="shared" si="1"/>
        <v>26.638086099999999</v>
      </c>
      <c r="S9">
        <v>2006</v>
      </c>
      <c r="T9">
        <v>30.929004033333332</v>
      </c>
    </row>
    <row r="10" spans="1:20" x14ac:dyDescent="0.35">
      <c r="A10">
        <v>2006</v>
      </c>
      <c r="B10">
        <v>0.32502924675</v>
      </c>
      <c r="C10">
        <v>1.01</v>
      </c>
      <c r="D10">
        <v>1839.3620800000001</v>
      </c>
      <c r="E10">
        <v>1849.60663</v>
      </c>
      <c r="F10">
        <f t="shared" si="0"/>
        <v>1844.4843550000001</v>
      </c>
      <c r="G10">
        <v>271.96208200000001</v>
      </c>
      <c r="H10">
        <v>295.1875</v>
      </c>
      <c r="I10">
        <v>24.059231199999999</v>
      </c>
      <c r="J10">
        <v>181.82962424999999</v>
      </c>
      <c r="K10">
        <v>6.0754128400000003</v>
      </c>
      <c r="L10">
        <v>115.31846805000001</v>
      </c>
      <c r="N10" s="22"/>
      <c r="O10">
        <v>2007</v>
      </c>
      <c r="P10">
        <v>31.732811949999999</v>
      </c>
      <c r="Q10">
        <v>23.226953524999999</v>
      </c>
      <c r="R10">
        <f t="shared" si="1"/>
        <v>27.479882737499999</v>
      </c>
      <c r="S10">
        <v>2007</v>
      </c>
      <c r="T10">
        <v>33.168583699999999</v>
      </c>
    </row>
    <row r="11" spans="1:20" x14ac:dyDescent="0.35">
      <c r="A11">
        <v>2007</v>
      </c>
      <c r="B11">
        <v>0.40417347874999998</v>
      </c>
      <c r="C11">
        <v>1.47</v>
      </c>
      <c r="D11">
        <v>1853.6811700000001</v>
      </c>
      <c r="E11">
        <v>1885.3461400000001</v>
      </c>
      <c r="F11">
        <f t="shared" si="0"/>
        <v>1869.5136550000002</v>
      </c>
      <c r="G11">
        <v>265.62410750000004</v>
      </c>
      <c r="H11">
        <v>276.234375</v>
      </c>
      <c r="I11">
        <v>27.468850924999998</v>
      </c>
      <c r="J11">
        <v>173.87140675000001</v>
      </c>
      <c r="K11">
        <v>8.1925075725000003</v>
      </c>
      <c r="L11">
        <v>120.2882192</v>
      </c>
      <c r="N11" s="22"/>
      <c r="O11">
        <v>2008</v>
      </c>
      <c r="P11">
        <v>31.123436949999999</v>
      </c>
      <c r="Q11">
        <v>22.900781649999999</v>
      </c>
      <c r="R11">
        <f t="shared" si="1"/>
        <v>27.012109299999999</v>
      </c>
      <c r="S11">
        <v>2008</v>
      </c>
      <c r="T11">
        <v>82.401315133333341</v>
      </c>
    </row>
    <row r="12" spans="1:20" x14ac:dyDescent="0.35">
      <c r="A12">
        <v>2008</v>
      </c>
      <c r="B12">
        <v>0.42267910399999997</v>
      </c>
      <c r="C12">
        <v>1.03</v>
      </c>
      <c r="D12">
        <v>1854.26325</v>
      </c>
      <c r="E12">
        <v>1857.87212</v>
      </c>
      <c r="F12">
        <f t="shared" si="0"/>
        <v>1856.067685</v>
      </c>
      <c r="G12">
        <v>269.03018950000001</v>
      </c>
      <c r="H12">
        <v>286.03125</v>
      </c>
      <c r="I12">
        <v>34.550634449999997</v>
      </c>
      <c r="J12">
        <v>177.01921075000001</v>
      </c>
      <c r="K12">
        <v>9.7517689425</v>
      </c>
      <c r="L12">
        <v>119.63660610000001</v>
      </c>
      <c r="N12" s="22"/>
      <c r="O12">
        <v>2009</v>
      </c>
      <c r="P12">
        <v>32.357810999999998</v>
      </c>
      <c r="Q12">
        <v>22.601953524999999</v>
      </c>
      <c r="R12">
        <f t="shared" si="1"/>
        <v>27.479882262499999</v>
      </c>
      <c r="S12">
        <v>2009</v>
      </c>
      <c r="T12">
        <v>38.421159433333337</v>
      </c>
    </row>
    <row r="13" spans="1:20" x14ac:dyDescent="0.35">
      <c r="A13">
        <v>2009</v>
      </c>
      <c r="B13">
        <v>0.40530962500000001</v>
      </c>
      <c r="C13">
        <v>1.38</v>
      </c>
      <c r="D13">
        <v>1890.93407</v>
      </c>
      <c r="E13">
        <v>1850.0722900000001</v>
      </c>
      <c r="F13">
        <f t="shared" si="0"/>
        <v>1870.5031800000002</v>
      </c>
      <c r="G13">
        <v>267.93606575000001</v>
      </c>
      <c r="H13">
        <v>285.1640625</v>
      </c>
      <c r="I13">
        <v>31.552418150000001</v>
      </c>
      <c r="J13">
        <v>186.83703975</v>
      </c>
      <c r="K13">
        <v>8.7103290175000012</v>
      </c>
      <c r="L13">
        <v>121.34525865000001</v>
      </c>
      <c r="N13" s="22"/>
      <c r="O13">
        <v>2010</v>
      </c>
      <c r="P13">
        <v>32.867577099999998</v>
      </c>
      <c r="Q13">
        <v>23.775781649999999</v>
      </c>
      <c r="R13">
        <f t="shared" si="1"/>
        <v>28.321679374999999</v>
      </c>
      <c r="S13">
        <v>2010</v>
      </c>
      <c r="T13">
        <v>58.510939266666668</v>
      </c>
    </row>
    <row r="14" spans="1:20" x14ac:dyDescent="0.35">
      <c r="A14">
        <v>2010</v>
      </c>
      <c r="B14">
        <v>0.37877582025000001</v>
      </c>
      <c r="C14">
        <v>1.24</v>
      </c>
      <c r="E14">
        <v>1887.7908600000001</v>
      </c>
      <c r="F14">
        <f t="shared" si="0"/>
        <v>1887.7908600000001</v>
      </c>
      <c r="G14">
        <v>268.00926199999998</v>
      </c>
      <c r="H14">
        <v>286.3515625</v>
      </c>
      <c r="I14">
        <v>24.838268300000003</v>
      </c>
      <c r="J14">
        <v>172.4137345</v>
      </c>
      <c r="K14">
        <v>7.420900005</v>
      </c>
      <c r="L14">
        <v>120.99697674999999</v>
      </c>
      <c r="N14" s="22"/>
      <c r="O14">
        <v>2011</v>
      </c>
      <c r="P14">
        <v>31.176171324999999</v>
      </c>
      <c r="Q14">
        <v>22.297266024999999</v>
      </c>
      <c r="R14">
        <f t="shared" si="1"/>
        <v>26.736718674999999</v>
      </c>
      <c r="S14">
        <v>2011</v>
      </c>
      <c r="T14">
        <v>34.132886612</v>
      </c>
    </row>
    <row r="15" spans="1:20" x14ac:dyDescent="0.35">
      <c r="A15">
        <v>2011</v>
      </c>
      <c r="B15">
        <v>0.409032069</v>
      </c>
      <c r="C15">
        <v>1.53</v>
      </c>
      <c r="D15">
        <v>1897.9189899999999</v>
      </c>
      <c r="E15">
        <v>1829.11754</v>
      </c>
      <c r="F15">
        <f t="shared" si="0"/>
        <v>1863.5182649999999</v>
      </c>
      <c r="G15">
        <v>267.47747800000002</v>
      </c>
      <c r="H15">
        <v>281.53125</v>
      </c>
      <c r="I15">
        <v>31.349672325</v>
      </c>
      <c r="J15">
        <v>173.47107324999999</v>
      </c>
      <c r="K15">
        <v>10.156584687500001</v>
      </c>
      <c r="L15">
        <v>124.07732000000001</v>
      </c>
      <c r="N15" s="22"/>
      <c r="O15">
        <v>2012</v>
      </c>
      <c r="P15">
        <v>31.271874924999999</v>
      </c>
      <c r="Q15">
        <v>22.103906649999999</v>
      </c>
      <c r="R15">
        <f t="shared" si="1"/>
        <v>26.687890787499999</v>
      </c>
      <c r="S15">
        <v>2012</v>
      </c>
      <c r="T15">
        <v>80.390053749999993</v>
      </c>
    </row>
    <row r="16" spans="1:20" x14ac:dyDescent="0.35">
      <c r="A16">
        <v>2012</v>
      </c>
      <c r="B16">
        <v>0.38806620975</v>
      </c>
      <c r="C16">
        <v>2.04</v>
      </c>
      <c r="D16">
        <v>1882.9014199999999</v>
      </c>
      <c r="E16">
        <v>1887.3252</v>
      </c>
      <c r="F16">
        <f t="shared" si="0"/>
        <v>1885.11331</v>
      </c>
      <c r="G16">
        <v>268.68206775000004</v>
      </c>
      <c r="H16">
        <v>284.4765625</v>
      </c>
      <c r="I16">
        <v>30.770655625</v>
      </c>
      <c r="J16">
        <v>187.36964424999999</v>
      </c>
      <c r="K16">
        <v>8.211727852500001</v>
      </c>
      <c r="L16">
        <v>114.27588850000001</v>
      </c>
      <c r="N16" s="22"/>
      <c r="O16">
        <v>2013</v>
      </c>
      <c r="P16">
        <v>30.074609299999999</v>
      </c>
      <c r="Q16">
        <v>22.320703524999999</v>
      </c>
      <c r="R16">
        <f t="shared" si="1"/>
        <v>26.197656412499999</v>
      </c>
      <c r="S16">
        <v>2013</v>
      </c>
      <c r="T16">
        <v>46.321627819999996</v>
      </c>
    </row>
    <row r="17" spans="1:20" x14ac:dyDescent="0.35">
      <c r="A17">
        <v>2013</v>
      </c>
      <c r="B17">
        <v>0.33782173674999993</v>
      </c>
      <c r="C17">
        <v>2.08</v>
      </c>
      <c r="D17">
        <v>1877.66273</v>
      </c>
      <c r="E17">
        <v>1900.4801299999999</v>
      </c>
      <c r="F17">
        <f t="shared" si="0"/>
        <v>1889.07143</v>
      </c>
      <c r="G17">
        <v>271.25685899999996</v>
      </c>
      <c r="H17">
        <v>290.171875</v>
      </c>
      <c r="I17">
        <v>23.135125299999999</v>
      </c>
      <c r="J17">
        <v>187.448803</v>
      </c>
      <c r="K17">
        <v>7.0755191699999997</v>
      </c>
      <c r="L17">
        <v>115.4449655</v>
      </c>
      <c r="N17" s="22"/>
      <c r="O17">
        <v>2014</v>
      </c>
      <c r="P17">
        <v>32.162499449999999</v>
      </c>
      <c r="Q17">
        <v>23.307031649999999</v>
      </c>
      <c r="R17">
        <f t="shared" si="1"/>
        <v>27.734765549999999</v>
      </c>
      <c r="S17">
        <v>2014</v>
      </c>
      <c r="T17">
        <v>35.403237539999999</v>
      </c>
    </row>
    <row r="18" spans="1:20" x14ac:dyDescent="0.35">
      <c r="A18">
        <v>2014</v>
      </c>
      <c r="B18">
        <v>0.43111313875000001</v>
      </c>
      <c r="C18">
        <v>2.16</v>
      </c>
      <c r="D18">
        <v>1859.61835</v>
      </c>
      <c r="E18">
        <v>1883.8327400000001</v>
      </c>
      <c r="F18">
        <f t="shared" si="0"/>
        <v>1871.725545</v>
      </c>
      <c r="G18">
        <v>271.28651449999995</v>
      </c>
      <c r="H18">
        <v>286.0390625</v>
      </c>
      <c r="I18">
        <v>33.492118500000004</v>
      </c>
      <c r="J18">
        <v>181.18489449999998</v>
      </c>
      <c r="K18">
        <v>8.3733610025000011</v>
      </c>
      <c r="L18">
        <v>112.41369449999999</v>
      </c>
      <c r="N18" s="22"/>
      <c r="O18">
        <v>2015</v>
      </c>
      <c r="P18">
        <v>33.283593199999999</v>
      </c>
      <c r="Q18">
        <v>22.834375399999999</v>
      </c>
      <c r="R18">
        <f t="shared" si="1"/>
        <v>28.058984299999999</v>
      </c>
      <c r="S18">
        <v>2015</v>
      </c>
      <c r="T18">
        <v>34.330451933333336</v>
      </c>
    </row>
    <row r="19" spans="1:20" x14ac:dyDescent="0.35">
      <c r="A19">
        <v>2015</v>
      </c>
      <c r="B19">
        <v>0.44239930075</v>
      </c>
      <c r="C19">
        <v>1.78</v>
      </c>
      <c r="D19">
        <v>1871.3762999999999</v>
      </c>
      <c r="E19">
        <v>1868.1166699999999</v>
      </c>
      <c r="F19">
        <f t="shared" si="0"/>
        <v>1869.7464849999999</v>
      </c>
      <c r="G19">
        <v>277.12050649999998</v>
      </c>
      <c r="H19">
        <v>295.6640625</v>
      </c>
      <c r="I19">
        <v>35.980757675</v>
      </c>
      <c r="J19">
        <v>188.84468849999999</v>
      </c>
      <c r="K19">
        <v>9.1819516424999996</v>
      </c>
      <c r="L19">
        <v>113.852016475</v>
      </c>
      <c r="N19" s="22"/>
      <c r="O19">
        <v>2016</v>
      </c>
      <c r="P19">
        <v>31.129296799999999</v>
      </c>
      <c r="Q19">
        <v>22.250391024999999</v>
      </c>
      <c r="R19">
        <f t="shared" si="1"/>
        <v>26.689843912499999</v>
      </c>
      <c r="S19">
        <v>2016</v>
      </c>
      <c r="T19">
        <v>43.262652875000001</v>
      </c>
    </row>
    <row r="20" spans="1:20" x14ac:dyDescent="0.35">
      <c r="A20">
        <v>2016</v>
      </c>
      <c r="B20">
        <v>0.36381921174999998</v>
      </c>
      <c r="C20">
        <v>1.49</v>
      </c>
      <c r="G20">
        <v>266.60154725000001</v>
      </c>
      <c r="H20">
        <v>277.8203125</v>
      </c>
      <c r="I20">
        <v>28.681556974999999</v>
      </c>
      <c r="J20">
        <v>167.04252224999999</v>
      </c>
      <c r="K20">
        <v>9.4038826649999994</v>
      </c>
      <c r="L20">
        <v>119.03629857499999</v>
      </c>
      <c r="N20" s="22"/>
      <c r="O20">
        <v>2017</v>
      </c>
      <c r="P20">
        <v>30.627343674999999</v>
      </c>
      <c r="Q20">
        <v>22.947656649999999</v>
      </c>
      <c r="R20">
        <f t="shared" si="1"/>
        <v>26.787500162499999</v>
      </c>
      <c r="S20">
        <v>2017</v>
      </c>
      <c r="T20">
        <v>33.2847309</v>
      </c>
    </row>
    <row r="21" spans="1:20" x14ac:dyDescent="0.35">
      <c r="A21">
        <v>2017</v>
      </c>
      <c r="B21">
        <v>0.41302388150000002</v>
      </c>
      <c r="C21">
        <v>2.6</v>
      </c>
      <c r="E21">
        <v>1920.38715</v>
      </c>
      <c r="F21">
        <f t="shared" si="0"/>
        <v>1920.38715</v>
      </c>
      <c r="G21">
        <v>267.89479075000003</v>
      </c>
      <c r="H21">
        <v>282.1875</v>
      </c>
      <c r="I21">
        <v>33.645719424999996</v>
      </c>
      <c r="J21">
        <v>167.60565975</v>
      </c>
      <c r="K21">
        <v>9.1430070074999996</v>
      </c>
      <c r="L21">
        <v>116.9831925</v>
      </c>
      <c r="N21" s="22"/>
      <c r="O21">
        <v>2018</v>
      </c>
      <c r="P21">
        <v>31.299218674999999</v>
      </c>
      <c r="Q21">
        <v>21.357812899999999</v>
      </c>
      <c r="R21">
        <f t="shared" si="1"/>
        <v>26.328515787499999</v>
      </c>
      <c r="S21">
        <v>2018</v>
      </c>
      <c r="T21">
        <v>38.513030049999998</v>
      </c>
    </row>
    <row r="22" spans="1:20" x14ac:dyDescent="0.35">
      <c r="A22">
        <v>2018</v>
      </c>
      <c r="B22">
        <v>0.33755160125</v>
      </c>
      <c r="C22">
        <v>2.72</v>
      </c>
      <c r="D22">
        <v>1891.050485</v>
      </c>
      <c r="E22">
        <v>1899.7816400000002</v>
      </c>
      <c r="F22">
        <f t="shared" si="0"/>
        <v>1895.4160625</v>
      </c>
      <c r="G22">
        <v>270.48440524999995</v>
      </c>
      <c r="H22">
        <v>282.1875</v>
      </c>
      <c r="I22">
        <v>32.122733150000002</v>
      </c>
      <c r="J22">
        <v>181.266571</v>
      </c>
      <c r="K22">
        <v>9.2484114900000005</v>
      </c>
      <c r="L22">
        <v>118.34103019999999</v>
      </c>
      <c r="N22" s="22"/>
      <c r="O22">
        <v>2019</v>
      </c>
      <c r="P22">
        <v>30.666406174999999</v>
      </c>
      <c r="Q22">
        <v>23.303125399999999</v>
      </c>
      <c r="R22">
        <f t="shared" si="1"/>
        <v>26.984765787499999</v>
      </c>
      <c r="S22">
        <v>2019</v>
      </c>
      <c r="T22">
        <v>50.647834766666669</v>
      </c>
    </row>
    <row r="23" spans="1:20" x14ac:dyDescent="0.35">
      <c r="A23">
        <v>2019</v>
      </c>
      <c r="B23">
        <v>0.38750276700000003</v>
      </c>
      <c r="C23">
        <v>2.88</v>
      </c>
      <c r="D23">
        <v>1893.1459600000001</v>
      </c>
      <c r="E23">
        <v>1880.45669</v>
      </c>
      <c r="F23">
        <f t="shared" si="0"/>
        <v>1886.8013249999999</v>
      </c>
      <c r="G23">
        <v>266.99500275000003</v>
      </c>
      <c r="H23">
        <v>281.5</v>
      </c>
      <c r="I23">
        <v>31.877547</v>
      </c>
      <c r="J23">
        <v>165.89556125000001</v>
      </c>
      <c r="K23">
        <v>7.9446567125000005</v>
      </c>
      <c r="L23">
        <v>119.922061775</v>
      </c>
      <c r="N23" s="22"/>
      <c r="O23">
        <v>2020</v>
      </c>
      <c r="P23">
        <v>32.228905699999999</v>
      </c>
      <c r="Q23">
        <v>23.787500399999999</v>
      </c>
      <c r="R23">
        <f t="shared" si="1"/>
        <v>28.008203049999999</v>
      </c>
      <c r="S23">
        <v>2020</v>
      </c>
      <c r="T23">
        <v>35.922108649999998</v>
      </c>
    </row>
    <row r="24" spans="1:20" x14ac:dyDescent="0.35">
      <c r="A24">
        <v>2020</v>
      </c>
      <c r="B24">
        <v>0.40140535324999999</v>
      </c>
      <c r="C24">
        <v>2.91</v>
      </c>
      <c r="E24">
        <v>1887.3252</v>
      </c>
      <c r="F24">
        <f t="shared" si="0"/>
        <v>1887.3252</v>
      </c>
      <c r="G24">
        <v>263.42567450000001</v>
      </c>
      <c r="H24">
        <v>262.609375</v>
      </c>
      <c r="I24">
        <v>32.094070025000001</v>
      </c>
      <c r="J24">
        <v>167.623043</v>
      </c>
      <c r="K24">
        <v>10.329245562500001</v>
      </c>
      <c r="L24">
        <v>113.55644975</v>
      </c>
      <c r="N24" s="22"/>
    </row>
    <row r="25" spans="1:20" x14ac:dyDescent="0.35">
      <c r="N25" s="22"/>
    </row>
  </sheetData>
  <mergeCells count="5">
    <mergeCell ref="A1:L1"/>
    <mergeCell ref="N1:N25"/>
    <mergeCell ref="O1:Q1"/>
    <mergeCell ref="O2:Q2"/>
    <mergeCell ref="S2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B5B6-07E6-4B87-A2B3-214172880EFE}">
  <dimension ref="A1:W25"/>
  <sheetViews>
    <sheetView topLeftCell="E8" workbookViewId="0">
      <selection activeCell="U3" sqref="U3"/>
    </sheetView>
  </sheetViews>
  <sheetFormatPr defaultRowHeight="14.5" x14ac:dyDescent="0.35"/>
  <sheetData>
    <row r="1" spans="1:23" x14ac:dyDescent="0.35">
      <c r="A1" s="26" t="s">
        <v>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Q1" s="22" t="s">
        <v>13</v>
      </c>
      <c r="R1" s="23" t="s">
        <v>5</v>
      </c>
      <c r="S1" s="23"/>
      <c r="T1" s="23"/>
      <c r="U1" s="14"/>
      <c r="V1" s="3" t="s">
        <v>11</v>
      </c>
      <c r="W1" s="3"/>
    </row>
    <row r="2" spans="1:23" x14ac:dyDescent="0.35">
      <c r="A2" s="12"/>
      <c r="B2" s="12"/>
      <c r="C2" s="12"/>
      <c r="D2" s="12" t="s">
        <v>17</v>
      </c>
      <c r="E2" s="12" t="s">
        <v>19</v>
      </c>
      <c r="F2" s="12" t="s">
        <v>17</v>
      </c>
      <c r="G2" s="12" t="s">
        <v>17</v>
      </c>
      <c r="H2" s="18" t="s">
        <v>109</v>
      </c>
      <c r="I2" s="12" t="s">
        <v>45</v>
      </c>
      <c r="J2" s="12" t="s">
        <v>45</v>
      </c>
      <c r="K2" s="12" t="s">
        <v>45</v>
      </c>
      <c r="L2" s="12"/>
      <c r="M2" s="12" t="s">
        <v>55</v>
      </c>
      <c r="N2" s="8" t="s">
        <v>66</v>
      </c>
      <c r="O2" s="8"/>
      <c r="Q2" s="22"/>
      <c r="R2" s="24" t="s">
        <v>73</v>
      </c>
      <c r="S2" s="24"/>
      <c r="T2" s="24"/>
      <c r="U2" s="15" t="s">
        <v>113</v>
      </c>
      <c r="V2" s="24" t="s">
        <v>12</v>
      </c>
      <c r="W2" s="24"/>
    </row>
    <row r="3" spans="1:23" x14ac:dyDescent="0.35">
      <c r="A3" t="s">
        <v>0</v>
      </c>
      <c r="B3" t="s">
        <v>21</v>
      </c>
      <c r="C3" t="s">
        <v>22</v>
      </c>
      <c r="D3" t="s">
        <v>117</v>
      </c>
      <c r="E3" t="s">
        <v>15</v>
      </c>
      <c r="F3" t="s">
        <v>67</v>
      </c>
      <c r="G3" t="s">
        <v>68</v>
      </c>
      <c r="H3" s="19" t="s">
        <v>112</v>
      </c>
      <c r="I3" t="s">
        <v>69</v>
      </c>
      <c r="J3" t="s">
        <v>70</v>
      </c>
      <c r="K3" t="s">
        <v>71</v>
      </c>
      <c r="M3" t="s">
        <v>72</v>
      </c>
      <c r="Q3" s="22"/>
      <c r="R3" t="s">
        <v>2</v>
      </c>
      <c r="S3" t="s">
        <v>3</v>
      </c>
      <c r="T3" t="s">
        <v>4</v>
      </c>
      <c r="U3" s="19" t="s">
        <v>114</v>
      </c>
      <c r="V3" t="s">
        <v>8</v>
      </c>
    </row>
    <row r="4" spans="1:23" x14ac:dyDescent="0.35">
      <c r="A4">
        <v>2000</v>
      </c>
      <c r="B4">
        <v>0.14261607849999999</v>
      </c>
      <c r="C4" s="11">
        <v>2.3408567811726799</v>
      </c>
      <c r="E4">
        <v>166.14098419999999</v>
      </c>
      <c r="M4">
        <v>73.430000124999992</v>
      </c>
      <c r="Q4" s="22"/>
      <c r="R4">
        <v>2000</v>
      </c>
      <c r="V4">
        <v>2000</v>
      </c>
      <c r="W4">
        <v>40.519664766666665</v>
      </c>
    </row>
    <row r="5" spans="1:23" x14ac:dyDescent="0.35">
      <c r="A5">
        <v>2001</v>
      </c>
      <c r="B5">
        <v>0.42943713075000001</v>
      </c>
      <c r="C5" s="11">
        <v>2.2696140330963899</v>
      </c>
      <c r="E5">
        <v>161.908457</v>
      </c>
      <c r="M5">
        <v>82.205730849999995</v>
      </c>
      <c r="Q5" s="22"/>
      <c r="R5">
        <v>2001</v>
      </c>
      <c r="V5">
        <v>2001</v>
      </c>
      <c r="W5">
        <v>39.996119800000002</v>
      </c>
    </row>
    <row r="6" spans="1:23" x14ac:dyDescent="0.35">
      <c r="A6">
        <v>2002</v>
      </c>
      <c r="B6">
        <v>0.49721199999999999</v>
      </c>
      <c r="C6" s="11">
        <v>2.1073272887365802</v>
      </c>
      <c r="D6">
        <v>1858.5534359999999</v>
      </c>
      <c r="E6">
        <v>164.38580260000001</v>
      </c>
      <c r="F6">
        <v>151.32123440000001</v>
      </c>
      <c r="G6">
        <v>165.8811287</v>
      </c>
      <c r="H6">
        <f>AVERAGE(F6:G6)</f>
        <v>158.60118155000001</v>
      </c>
      <c r="M6">
        <v>75.866578375000003</v>
      </c>
      <c r="Q6" s="22"/>
      <c r="R6">
        <v>2002</v>
      </c>
      <c r="V6">
        <v>2002</v>
      </c>
      <c r="W6">
        <v>29.8056135</v>
      </c>
    </row>
    <row r="7" spans="1:23" x14ac:dyDescent="0.35">
      <c r="A7">
        <v>2003</v>
      </c>
      <c r="B7">
        <v>0.51989836249999999</v>
      </c>
      <c r="C7" s="11">
        <v>1.8999393999182601</v>
      </c>
      <c r="D7">
        <v>1679.3559310000001</v>
      </c>
      <c r="E7">
        <v>166.35284300000001</v>
      </c>
      <c r="F7">
        <v>152.5834456</v>
      </c>
      <c r="G7">
        <v>156.23206920000001</v>
      </c>
      <c r="H7">
        <f t="shared" ref="H7:H24" si="0">AVERAGE(F7:G7)</f>
        <v>154.40775740000001</v>
      </c>
      <c r="M7">
        <v>73.97838625</v>
      </c>
      <c r="Q7" s="22"/>
      <c r="R7">
        <v>2003</v>
      </c>
      <c r="S7">
        <v>27.133203524999999</v>
      </c>
      <c r="T7">
        <v>10.334375395</v>
      </c>
      <c r="U7">
        <f>AVERAGE(S7:T7)</f>
        <v>18.733789460000001</v>
      </c>
      <c r="V7">
        <v>2003</v>
      </c>
      <c r="W7">
        <v>35.12002734</v>
      </c>
    </row>
    <row r="8" spans="1:23" x14ac:dyDescent="0.35">
      <c r="A8">
        <v>2004</v>
      </c>
      <c r="B8">
        <v>0.55446705200000002</v>
      </c>
      <c r="C8" s="11">
        <v>2.5229028836927401</v>
      </c>
      <c r="D8">
        <v>1848.576534</v>
      </c>
      <c r="E8">
        <v>156.85098210000001</v>
      </c>
      <c r="F8">
        <v>152.87575899999999</v>
      </c>
      <c r="G8">
        <v>159.51775230000001</v>
      </c>
      <c r="H8">
        <f t="shared" si="0"/>
        <v>156.19675565</v>
      </c>
      <c r="I8">
        <v>264.03173049999998</v>
      </c>
      <c r="J8">
        <v>264.03173049999998</v>
      </c>
      <c r="K8">
        <v>4.4285709999999999E-2</v>
      </c>
      <c r="M8">
        <v>74.472374875</v>
      </c>
      <c r="Q8" s="22"/>
      <c r="R8">
        <v>2004</v>
      </c>
      <c r="S8">
        <v>28.564843674999999</v>
      </c>
      <c r="T8">
        <v>11.766016025000001</v>
      </c>
      <c r="U8">
        <f t="shared" ref="U8:U24" si="1">AVERAGE(S8:T8)</f>
        <v>20.165429849999999</v>
      </c>
      <c r="V8">
        <v>2004</v>
      </c>
      <c r="W8">
        <v>30.969372433333337</v>
      </c>
    </row>
    <row r="9" spans="1:23" x14ac:dyDescent="0.35">
      <c r="A9">
        <v>2005</v>
      </c>
      <c r="B9">
        <v>0.49022491249999994</v>
      </c>
      <c r="C9" s="11">
        <v>1.79453392375029</v>
      </c>
      <c r="D9">
        <v>1880.949871</v>
      </c>
      <c r="E9">
        <v>158.9751144</v>
      </c>
      <c r="F9">
        <v>153.7181171</v>
      </c>
      <c r="G9">
        <v>154.551526</v>
      </c>
      <c r="H9">
        <f t="shared" si="0"/>
        <v>154.13482155</v>
      </c>
      <c r="I9">
        <v>249.5260868</v>
      </c>
      <c r="J9">
        <v>249.5260868</v>
      </c>
      <c r="K9">
        <v>4.2391319999999996E-3</v>
      </c>
      <c r="M9">
        <v>83.330720750000012</v>
      </c>
      <c r="Q9" s="22"/>
      <c r="R9">
        <v>2005</v>
      </c>
      <c r="S9">
        <v>30.266015074999999</v>
      </c>
      <c r="T9">
        <v>11.199609765000002</v>
      </c>
      <c r="U9">
        <f t="shared" si="1"/>
        <v>20.732812420000002</v>
      </c>
      <c r="V9">
        <v>2005</v>
      </c>
      <c r="W9">
        <v>30.664595219999995</v>
      </c>
    </row>
    <row r="10" spans="1:23" x14ac:dyDescent="0.35">
      <c r="A10">
        <v>2006</v>
      </c>
      <c r="B10">
        <v>0.55014029124999997</v>
      </c>
      <c r="C10" s="11">
        <v>1.9768275826096</v>
      </c>
      <c r="D10">
        <v>1870.777591</v>
      </c>
      <c r="E10">
        <v>160.83234200000001</v>
      </c>
      <c r="F10">
        <v>155.08939889999999</v>
      </c>
      <c r="G10">
        <v>150.64633559999999</v>
      </c>
      <c r="H10">
        <f t="shared" si="0"/>
        <v>152.86786724999999</v>
      </c>
      <c r="I10">
        <v>259.78547020000002</v>
      </c>
      <c r="J10">
        <v>259.78547020000002</v>
      </c>
      <c r="K10">
        <v>3.5063289999999997E-2</v>
      </c>
      <c r="M10">
        <v>66.064082724999992</v>
      </c>
      <c r="Q10" s="22"/>
      <c r="R10">
        <v>2006</v>
      </c>
      <c r="S10">
        <v>29.230859299999999</v>
      </c>
      <c r="T10">
        <v>11.86367227</v>
      </c>
      <c r="U10">
        <f t="shared" si="1"/>
        <v>20.547265785</v>
      </c>
      <c r="V10">
        <v>2006</v>
      </c>
      <c r="W10" s="1">
        <v>24.192968366666666</v>
      </c>
    </row>
    <row r="11" spans="1:23" x14ac:dyDescent="0.35">
      <c r="A11">
        <v>2007</v>
      </c>
      <c r="B11">
        <v>0.59518445249999996</v>
      </c>
      <c r="C11" s="11">
        <v>2.3354589938006902</v>
      </c>
      <c r="D11">
        <v>1865.881877</v>
      </c>
      <c r="E11">
        <v>159.5956979</v>
      </c>
      <c r="F11">
        <v>153.2830482</v>
      </c>
      <c r="G11">
        <v>150.848387</v>
      </c>
      <c r="H11">
        <f t="shared" si="0"/>
        <v>152.0657176</v>
      </c>
      <c r="I11">
        <v>253.4840337</v>
      </c>
      <c r="J11">
        <v>253.4840337</v>
      </c>
      <c r="K11">
        <v>-7.5802468999999997E-2</v>
      </c>
      <c r="M11">
        <v>71.830344949999997</v>
      </c>
      <c r="Q11" s="22"/>
      <c r="R11">
        <v>2007</v>
      </c>
      <c r="S11">
        <v>28.976953049999999</v>
      </c>
      <c r="T11">
        <v>10.797266010000001</v>
      </c>
      <c r="U11">
        <f t="shared" si="1"/>
        <v>19.88710953</v>
      </c>
      <c r="V11">
        <v>2007</v>
      </c>
      <c r="W11">
        <v>31.630679599999997</v>
      </c>
    </row>
    <row r="12" spans="1:23" x14ac:dyDescent="0.35">
      <c r="A12">
        <v>2008</v>
      </c>
      <c r="B12">
        <v>0.64027663324999995</v>
      </c>
      <c r="C12" s="11">
        <v>2.23369849421419</v>
      </c>
      <c r="D12">
        <v>1865.9284560000001</v>
      </c>
      <c r="E12">
        <v>158.80341319999999</v>
      </c>
      <c r="F12">
        <v>152.42985680000001</v>
      </c>
      <c r="G12">
        <v>139.3590782</v>
      </c>
      <c r="H12">
        <f t="shared" si="0"/>
        <v>145.89446750000002</v>
      </c>
      <c r="I12">
        <v>254.9299068</v>
      </c>
      <c r="J12">
        <v>254.9299068</v>
      </c>
      <c r="K12">
        <v>4.5208333000000003E-2</v>
      </c>
      <c r="M12">
        <v>82.582907724999998</v>
      </c>
      <c r="Q12" s="22"/>
      <c r="R12">
        <v>2008</v>
      </c>
      <c r="S12">
        <v>29.191797274999999</v>
      </c>
      <c r="T12">
        <v>12.197656650000001</v>
      </c>
      <c r="U12">
        <f t="shared" si="1"/>
        <v>20.694726962499999</v>
      </c>
      <c r="V12">
        <v>2008</v>
      </c>
      <c r="W12">
        <v>45.555651699999999</v>
      </c>
    </row>
    <row r="13" spans="1:23" x14ac:dyDescent="0.35">
      <c r="A13">
        <v>2009</v>
      </c>
      <c r="B13">
        <v>0.58333902800000004</v>
      </c>
      <c r="C13" s="11">
        <v>2.4937469590759198</v>
      </c>
      <c r="D13">
        <v>1870.9700330000001</v>
      </c>
      <c r="E13">
        <v>163.08833139999999</v>
      </c>
      <c r="F13">
        <v>151.45804570000001</v>
      </c>
      <c r="G13">
        <v>138.55496450000001</v>
      </c>
      <c r="H13">
        <f t="shared" si="0"/>
        <v>145.00650510000003</v>
      </c>
      <c r="I13">
        <v>268.10675670000001</v>
      </c>
      <c r="J13">
        <v>268.10675670000001</v>
      </c>
      <c r="K13">
        <v>3.4864869999999999E-2</v>
      </c>
      <c r="M13">
        <v>86.181742575000001</v>
      </c>
      <c r="Q13" s="22"/>
      <c r="R13">
        <v>2009</v>
      </c>
      <c r="S13">
        <v>27.439844149999999</v>
      </c>
      <c r="T13">
        <v>11.392969024999999</v>
      </c>
      <c r="U13">
        <f t="shared" si="1"/>
        <v>19.416406587499999</v>
      </c>
      <c r="V13">
        <v>2009</v>
      </c>
      <c r="W13" s="4">
        <v>20.159573549999998</v>
      </c>
    </row>
    <row r="14" spans="1:23" x14ac:dyDescent="0.35">
      <c r="A14">
        <v>2010</v>
      </c>
      <c r="B14">
        <v>0.57727899400000005</v>
      </c>
      <c r="C14" s="11">
        <v>2.1393442622950798</v>
      </c>
      <c r="D14">
        <v>1874.954129</v>
      </c>
      <c r="E14">
        <v>163.51921619999999</v>
      </c>
      <c r="F14">
        <v>153.05775420000001</v>
      </c>
      <c r="G14">
        <v>136.41746169999999</v>
      </c>
      <c r="H14">
        <f t="shared" si="0"/>
        <v>144.73760794999998</v>
      </c>
      <c r="I14">
        <v>261.85890419999998</v>
      </c>
      <c r="J14">
        <v>261.85890419999998</v>
      </c>
      <c r="K14">
        <v>4.4117647000000003E-2</v>
      </c>
      <c r="M14">
        <v>79.74404444999999</v>
      </c>
      <c r="Q14" s="22"/>
      <c r="R14">
        <v>2010</v>
      </c>
      <c r="S14">
        <v>29.144921799999999</v>
      </c>
      <c r="T14">
        <v>11.535547149999999</v>
      </c>
      <c r="U14">
        <f t="shared" si="1"/>
        <v>20.340234474999999</v>
      </c>
      <c r="V14">
        <v>2010</v>
      </c>
      <c r="W14">
        <v>28.482752466666668</v>
      </c>
    </row>
    <row r="15" spans="1:23" x14ac:dyDescent="0.35">
      <c r="A15">
        <v>2011</v>
      </c>
      <c r="B15">
        <v>0.65387222924999999</v>
      </c>
      <c r="C15" s="11">
        <v>2.46528536286531</v>
      </c>
      <c r="D15">
        <v>1882.4357540000001</v>
      </c>
      <c r="E15">
        <v>163.76487320000001</v>
      </c>
      <c r="F15">
        <v>152.1956466</v>
      </c>
      <c r="G15">
        <v>135.37909730000001</v>
      </c>
      <c r="H15">
        <f t="shared" si="0"/>
        <v>143.78737195000002</v>
      </c>
      <c r="I15">
        <v>261.4480393</v>
      </c>
      <c r="J15">
        <v>261.4480393</v>
      </c>
      <c r="K15">
        <v>3.3090909000000002E-2</v>
      </c>
      <c r="M15">
        <v>83.223004575000004</v>
      </c>
      <c r="Q15" s="22"/>
      <c r="R15">
        <v>2011</v>
      </c>
      <c r="S15">
        <v>27.299219149999999</v>
      </c>
      <c r="T15">
        <v>11.244531640000002</v>
      </c>
      <c r="U15">
        <f t="shared" si="1"/>
        <v>19.271875395000002</v>
      </c>
      <c r="V15">
        <v>2011</v>
      </c>
      <c r="W15">
        <v>37.165320399999999</v>
      </c>
    </row>
    <row r="16" spans="1:23" x14ac:dyDescent="0.35">
      <c r="A16">
        <v>2012</v>
      </c>
      <c r="B16">
        <v>0.63678809999999997</v>
      </c>
      <c r="C16" s="11">
        <v>2.6439118487884801</v>
      </c>
      <c r="D16">
        <v>1879.275909</v>
      </c>
      <c r="E16">
        <v>162.2534144</v>
      </c>
      <c r="F16">
        <v>153.35825149999999</v>
      </c>
      <c r="G16">
        <v>128.62454220000001</v>
      </c>
      <c r="H16">
        <f t="shared" si="0"/>
        <v>140.99139685</v>
      </c>
      <c r="I16">
        <v>251.67446849999999</v>
      </c>
      <c r="J16">
        <v>251.67446849999999</v>
      </c>
      <c r="K16">
        <v>-3.0185182000000001E-2</v>
      </c>
      <c r="M16">
        <v>93.496998074999993</v>
      </c>
      <c r="Q16" s="22"/>
      <c r="R16">
        <v>2012</v>
      </c>
      <c r="S16">
        <v>27.275781649999999</v>
      </c>
      <c r="T16">
        <v>10.672265895000001</v>
      </c>
      <c r="U16">
        <f t="shared" si="1"/>
        <v>18.974023772500001</v>
      </c>
      <c r="V16">
        <v>2012</v>
      </c>
      <c r="W16">
        <v>30.563930525</v>
      </c>
    </row>
    <row r="17" spans="1:23" x14ac:dyDescent="0.35">
      <c r="A17">
        <v>2013</v>
      </c>
      <c r="B17">
        <v>0.68047121174999992</v>
      </c>
      <c r="C17" s="11">
        <v>2.4920895698505001</v>
      </c>
      <c r="D17">
        <v>1873.9786280000001</v>
      </c>
      <c r="E17">
        <v>161.32755879999999</v>
      </c>
      <c r="F17">
        <v>150.2801375</v>
      </c>
      <c r="G17">
        <v>128.68040360000001</v>
      </c>
      <c r="H17">
        <f t="shared" si="0"/>
        <v>139.48027055</v>
      </c>
      <c r="I17">
        <v>267.41847840000003</v>
      </c>
      <c r="J17">
        <v>267.41847840000003</v>
      </c>
      <c r="K17">
        <v>0.122558138</v>
      </c>
      <c r="M17">
        <v>80.779556200000002</v>
      </c>
      <c r="Q17" s="22"/>
      <c r="R17">
        <v>2013</v>
      </c>
      <c r="S17">
        <v>26.178125399999999</v>
      </c>
      <c r="T17">
        <v>11.35195352</v>
      </c>
      <c r="U17">
        <f t="shared" si="1"/>
        <v>18.765039460000001</v>
      </c>
      <c r="V17">
        <v>2013</v>
      </c>
      <c r="W17">
        <v>30.3311116</v>
      </c>
    </row>
    <row r="18" spans="1:23" x14ac:dyDescent="0.35">
      <c r="A18">
        <v>2014</v>
      </c>
      <c r="B18">
        <v>0.6012085975</v>
      </c>
      <c r="C18" s="11">
        <v>2.4361466460841101</v>
      </c>
      <c r="D18">
        <v>1692.4263840000001</v>
      </c>
      <c r="E18">
        <v>156.53966149999999</v>
      </c>
      <c r="F18">
        <v>152.89164940000001</v>
      </c>
      <c r="G18">
        <v>133.9095634</v>
      </c>
      <c r="H18">
        <f t="shared" si="0"/>
        <v>143.40060640000002</v>
      </c>
      <c r="I18">
        <v>268.98170679999998</v>
      </c>
      <c r="J18">
        <v>268.98170679999998</v>
      </c>
      <c r="K18">
        <v>2.9999995000000002E-2</v>
      </c>
      <c r="M18">
        <v>87.927576174999999</v>
      </c>
      <c r="Q18" s="22"/>
      <c r="R18">
        <v>2014</v>
      </c>
      <c r="S18">
        <v>25.867578524999999</v>
      </c>
      <c r="T18">
        <v>10.957422265000002</v>
      </c>
      <c r="U18">
        <f t="shared" si="1"/>
        <v>18.412500395000002</v>
      </c>
      <c r="V18">
        <v>2014</v>
      </c>
      <c r="W18">
        <v>27.963450250000005</v>
      </c>
    </row>
    <row r="19" spans="1:23" x14ac:dyDescent="0.35">
      <c r="A19">
        <v>2015</v>
      </c>
      <c r="B19">
        <v>0.67060975</v>
      </c>
      <c r="C19" s="11">
        <v>1.36374250907352</v>
      </c>
      <c r="D19">
        <v>1887.4561639999999</v>
      </c>
      <c r="E19">
        <v>151.856773</v>
      </c>
      <c r="F19">
        <v>155.00357700000001</v>
      </c>
      <c r="G19">
        <v>138.83638959999999</v>
      </c>
      <c r="H19">
        <f t="shared" si="0"/>
        <v>146.91998330000001</v>
      </c>
      <c r="I19">
        <v>264.28480990000003</v>
      </c>
      <c r="J19">
        <v>264.28480990000003</v>
      </c>
      <c r="K19">
        <v>0.130606059</v>
      </c>
      <c r="M19">
        <v>76.729112700000016</v>
      </c>
      <c r="Q19" s="22"/>
      <c r="R19">
        <v>2015</v>
      </c>
      <c r="S19">
        <v>29.988671799999999</v>
      </c>
      <c r="T19">
        <v>12.896875394999999</v>
      </c>
      <c r="U19">
        <f t="shared" si="1"/>
        <v>21.4427735975</v>
      </c>
      <c r="V19">
        <v>2015</v>
      </c>
      <c r="W19">
        <v>29.145523700000002</v>
      </c>
    </row>
    <row r="20" spans="1:23" x14ac:dyDescent="0.35">
      <c r="A20">
        <v>2016</v>
      </c>
      <c r="B20">
        <v>0.6571698265</v>
      </c>
      <c r="C20" s="11">
        <v>1.9120014986439799</v>
      </c>
      <c r="D20">
        <v>1894.496382</v>
      </c>
      <c r="E20">
        <v>160.32775480000001</v>
      </c>
      <c r="F20">
        <v>153.95053200000001</v>
      </c>
      <c r="G20">
        <v>126.9550662</v>
      </c>
      <c r="H20">
        <f t="shared" si="0"/>
        <v>140.45279909999999</v>
      </c>
      <c r="I20">
        <v>255.22533390000001</v>
      </c>
      <c r="J20">
        <v>255.22533390000001</v>
      </c>
      <c r="K20">
        <v>1.868421E-2</v>
      </c>
      <c r="M20">
        <v>97.464257525000008</v>
      </c>
      <c r="Q20" s="22"/>
      <c r="R20">
        <v>2016</v>
      </c>
      <c r="S20">
        <v>27.826562899999999</v>
      </c>
      <c r="T20">
        <v>11.570703525000001</v>
      </c>
      <c r="U20">
        <f t="shared" si="1"/>
        <v>19.698633212499999</v>
      </c>
      <c r="V20">
        <v>2016</v>
      </c>
      <c r="W20" s="2">
        <v>19.316581239999998</v>
      </c>
    </row>
    <row r="21" spans="1:23" x14ac:dyDescent="0.35">
      <c r="A21">
        <v>2017</v>
      </c>
      <c r="B21">
        <v>0.62555447225000005</v>
      </c>
      <c r="C21" s="11">
        <v>2.9982671848694298</v>
      </c>
      <c r="D21">
        <v>1706.5082500000001</v>
      </c>
      <c r="E21">
        <v>156.3575075</v>
      </c>
      <c r="F21">
        <v>159.0008881</v>
      </c>
      <c r="G21">
        <v>127.0147949</v>
      </c>
      <c r="H21">
        <f t="shared" si="0"/>
        <v>143.00784149999998</v>
      </c>
      <c r="I21">
        <v>268.31645609999998</v>
      </c>
      <c r="J21">
        <v>268.31645609999998</v>
      </c>
      <c r="K21">
        <v>0.15000000099999999</v>
      </c>
      <c r="M21">
        <v>94.388137650000004</v>
      </c>
      <c r="Q21" s="22"/>
      <c r="R21">
        <v>2017</v>
      </c>
      <c r="S21">
        <v>28.832422274999999</v>
      </c>
      <c r="T21">
        <v>11.275781524999999</v>
      </c>
      <c r="U21">
        <f t="shared" si="1"/>
        <v>20.054101899999999</v>
      </c>
      <c r="V21">
        <v>2017</v>
      </c>
      <c r="W21">
        <v>38.568489100000001</v>
      </c>
    </row>
    <row r="22" spans="1:23" x14ac:dyDescent="0.35">
      <c r="A22">
        <v>2018</v>
      </c>
      <c r="B22">
        <v>0.64573800574999995</v>
      </c>
      <c r="C22" s="11">
        <v>3.7614376442044701</v>
      </c>
      <c r="D22">
        <v>1896.6742429999999</v>
      </c>
      <c r="E22">
        <v>154.16497949999999</v>
      </c>
      <c r="F22">
        <v>153.17380209999999</v>
      </c>
      <c r="G22">
        <v>118.2224667</v>
      </c>
      <c r="H22">
        <f t="shared" si="0"/>
        <v>135.69813439999999</v>
      </c>
      <c r="I22">
        <v>246.68227880000001</v>
      </c>
      <c r="J22">
        <v>246.68227880000001</v>
      </c>
      <c r="K22">
        <v>-5.5142855999999997E-2</v>
      </c>
      <c r="M22">
        <v>87.600468249999992</v>
      </c>
      <c r="Q22" s="22"/>
      <c r="R22">
        <v>2018</v>
      </c>
      <c r="S22">
        <v>27.828515549999999</v>
      </c>
      <c r="T22">
        <v>11.318750390000002</v>
      </c>
      <c r="U22">
        <f t="shared" si="1"/>
        <v>19.573632969999998</v>
      </c>
      <c r="V22">
        <v>2018</v>
      </c>
      <c r="W22">
        <v>23.891687020000003</v>
      </c>
    </row>
    <row r="23" spans="1:23" x14ac:dyDescent="0.35">
      <c r="A23">
        <v>2019</v>
      </c>
      <c r="B23">
        <v>0.71946702900000004</v>
      </c>
      <c r="C23" s="11">
        <v>3.5531667552383799</v>
      </c>
      <c r="D23">
        <v>1887.6240539999999</v>
      </c>
      <c r="E23">
        <v>150.27778470000001</v>
      </c>
      <c r="F23">
        <v>150.89834300000001</v>
      </c>
      <c r="G23">
        <v>125.696433</v>
      </c>
      <c r="H23">
        <f t="shared" si="0"/>
        <v>138.29738800000001</v>
      </c>
      <c r="I23">
        <v>274.07804820000001</v>
      </c>
      <c r="J23">
        <v>274.07804820000001</v>
      </c>
      <c r="K23">
        <v>8.5789471000000006E-2</v>
      </c>
      <c r="M23">
        <v>77.668300899999991</v>
      </c>
      <c r="Q23" s="22"/>
      <c r="R23">
        <v>2019</v>
      </c>
      <c r="S23">
        <v>26.271874924999999</v>
      </c>
      <c r="T23">
        <v>11.81093789</v>
      </c>
      <c r="U23">
        <f t="shared" si="1"/>
        <v>19.041406407499998</v>
      </c>
      <c r="V23">
        <v>2019</v>
      </c>
      <c r="W23">
        <v>49.104253780000001</v>
      </c>
    </row>
    <row r="24" spans="1:23" x14ac:dyDescent="0.35">
      <c r="A24">
        <v>2020</v>
      </c>
      <c r="B24">
        <v>0.71946702900000004</v>
      </c>
      <c r="C24" s="11">
        <v>2.8150004271192199</v>
      </c>
      <c r="D24">
        <v>1901.997474</v>
      </c>
      <c r="E24">
        <v>153.58168169999999</v>
      </c>
      <c r="F24">
        <v>155.61422909999999</v>
      </c>
      <c r="G24">
        <v>122.27004239999999</v>
      </c>
      <c r="H24">
        <f t="shared" si="0"/>
        <v>138.94213574999998</v>
      </c>
      <c r="I24">
        <v>267.14359089999999</v>
      </c>
      <c r="J24">
        <v>267.14359089999999</v>
      </c>
      <c r="K24">
        <v>9.3055555999999998E-2</v>
      </c>
      <c r="M24">
        <v>74.878447574999996</v>
      </c>
      <c r="Q24" s="22"/>
      <c r="R24">
        <v>2020</v>
      </c>
      <c r="S24">
        <v>27.980859774999999</v>
      </c>
      <c r="T24">
        <v>11.584375395</v>
      </c>
      <c r="U24">
        <f t="shared" si="1"/>
        <v>19.782617585000001</v>
      </c>
      <c r="V24">
        <v>2020</v>
      </c>
      <c r="W24">
        <v>28.35903545</v>
      </c>
    </row>
    <row r="25" spans="1:23" x14ac:dyDescent="0.35">
      <c r="Q25" s="22"/>
    </row>
  </sheetData>
  <mergeCells count="5">
    <mergeCell ref="A1:O1"/>
    <mergeCell ref="Q1:Q25"/>
    <mergeCell ref="R1:T1"/>
    <mergeCell ref="R2:T2"/>
    <mergeCell ref="V2: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F023-7F29-4E18-B975-40FB33FA6DFB}">
  <dimension ref="A1:S25"/>
  <sheetViews>
    <sheetView topLeftCell="A8" workbookViewId="0">
      <selection activeCell="Q3" sqref="Q3"/>
    </sheetView>
  </sheetViews>
  <sheetFormatPr defaultRowHeight="14.5" x14ac:dyDescent="0.35"/>
  <sheetData>
    <row r="1" spans="1:19" ht="15.5" x14ac:dyDescent="0.4">
      <c r="A1" s="27" t="s">
        <v>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M1" s="22" t="s">
        <v>13</v>
      </c>
      <c r="N1" s="23" t="s">
        <v>5</v>
      </c>
      <c r="O1" s="23"/>
      <c r="P1" s="23"/>
      <c r="Q1" s="14"/>
      <c r="R1" s="3" t="s">
        <v>11</v>
      </c>
      <c r="S1" s="3"/>
    </row>
    <row r="2" spans="1:19" x14ac:dyDescent="0.35">
      <c r="A2" s="8"/>
      <c r="B2" s="8"/>
      <c r="C2" s="8"/>
      <c r="D2" s="8" t="s">
        <v>17</v>
      </c>
      <c r="E2" s="8" t="s">
        <v>17</v>
      </c>
      <c r="F2" s="8" t="s">
        <v>109</v>
      </c>
      <c r="G2" s="8" t="s">
        <v>45</v>
      </c>
      <c r="H2" s="8" t="s">
        <v>55</v>
      </c>
      <c r="I2" s="8" t="s">
        <v>19</v>
      </c>
      <c r="J2" s="8" t="s">
        <v>55</v>
      </c>
      <c r="K2" s="8" t="s">
        <v>17</v>
      </c>
      <c r="M2" s="22"/>
      <c r="N2" s="24" t="s">
        <v>6</v>
      </c>
      <c r="O2" s="24"/>
      <c r="P2" s="24"/>
      <c r="Q2" s="15" t="s">
        <v>113</v>
      </c>
      <c r="R2" s="24" t="s">
        <v>12</v>
      </c>
      <c r="S2" s="24"/>
    </row>
    <row r="3" spans="1:19" x14ac:dyDescent="0.35">
      <c r="A3" t="s">
        <v>0</v>
      </c>
      <c r="B3" t="s">
        <v>21</v>
      </c>
      <c r="C3" t="s">
        <v>14</v>
      </c>
      <c r="D3" t="s">
        <v>23</v>
      </c>
      <c r="E3" t="s">
        <v>24</v>
      </c>
      <c r="F3" s="19" t="s">
        <v>110</v>
      </c>
      <c r="G3" t="s">
        <v>56</v>
      </c>
      <c r="H3" t="s">
        <v>57</v>
      </c>
      <c r="I3" t="s">
        <v>58</v>
      </c>
      <c r="J3" t="s">
        <v>59</v>
      </c>
      <c r="K3" t="s">
        <v>29</v>
      </c>
      <c r="M3" s="22"/>
      <c r="N3" t="s">
        <v>2</v>
      </c>
      <c r="O3" t="s">
        <v>3</v>
      </c>
      <c r="P3" t="s">
        <v>4</v>
      </c>
      <c r="Q3" s="19" t="s">
        <v>114</v>
      </c>
      <c r="R3" t="s">
        <v>8</v>
      </c>
    </row>
    <row r="4" spans="1:19" x14ac:dyDescent="0.35">
      <c r="A4">
        <v>2000</v>
      </c>
      <c r="B4">
        <v>0.43590462949999997</v>
      </c>
      <c r="C4">
        <v>2.0299999999999998</v>
      </c>
      <c r="G4">
        <v>271.72908774999996</v>
      </c>
      <c r="H4">
        <v>33.796379649999999</v>
      </c>
      <c r="I4">
        <v>182.54415875000001</v>
      </c>
      <c r="J4">
        <v>6.0544659274999999</v>
      </c>
      <c r="K4">
        <v>124.93906199999999</v>
      </c>
      <c r="M4" s="22"/>
      <c r="N4">
        <v>2000</v>
      </c>
      <c r="R4">
        <v>2000</v>
      </c>
      <c r="S4">
        <v>40.519664766666665</v>
      </c>
    </row>
    <row r="5" spans="1:19" x14ac:dyDescent="0.35">
      <c r="A5">
        <v>2001</v>
      </c>
      <c r="B5">
        <v>0.40085798499999997</v>
      </c>
      <c r="C5">
        <v>2.12</v>
      </c>
      <c r="G5">
        <v>275.95400975000001</v>
      </c>
      <c r="H5">
        <v>32.955934749999997</v>
      </c>
      <c r="I5">
        <v>180.34299475</v>
      </c>
      <c r="J5">
        <v>6.1577941625000001</v>
      </c>
      <c r="K5">
        <v>124.64419555000001</v>
      </c>
      <c r="M5" s="22"/>
      <c r="N5">
        <v>2001</v>
      </c>
      <c r="R5">
        <v>2001</v>
      </c>
      <c r="S5">
        <v>39.996119800000002</v>
      </c>
    </row>
    <row r="6" spans="1:19" x14ac:dyDescent="0.35">
      <c r="A6">
        <v>2002</v>
      </c>
      <c r="B6">
        <v>0.55007242374999998</v>
      </c>
      <c r="C6">
        <v>1.93</v>
      </c>
      <c r="D6">
        <v>1876.2657400000001</v>
      </c>
      <c r="E6">
        <v>1887.0341600000002</v>
      </c>
      <c r="F6">
        <f>AVERAGE(D6:E6)</f>
        <v>1881.64995</v>
      </c>
      <c r="G6">
        <v>271.6965715</v>
      </c>
      <c r="H6">
        <v>41.513294674999997</v>
      </c>
      <c r="I6">
        <v>197.58493024999999</v>
      </c>
      <c r="J6">
        <v>6.0819607675</v>
      </c>
      <c r="K6">
        <v>125.30693070000001</v>
      </c>
      <c r="M6" s="22"/>
      <c r="N6">
        <v>2002</v>
      </c>
      <c r="R6">
        <v>2002</v>
      </c>
      <c r="S6">
        <v>29.8056135</v>
      </c>
    </row>
    <row r="7" spans="1:19" x14ac:dyDescent="0.35">
      <c r="A7">
        <v>2003</v>
      </c>
      <c r="B7">
        <v>0.50281285500000006</v>
      </c>
      <c r="C7">
        <v>1.38</v>
      </c>
      <c r="D7">
        <v>1853.56475</v>
      </c>
      <c r="E7">
        <v>1851.2364500000001</v>
      </c>
      <c r="F7">
        <f t="shared" ref="F7:F24" si="0">AVERAGE(D7:E7)</f>
        <v>1852.4005999999999</v>
      </c>
      <c r="G7">
        <v>276.90267200000005</v>
      </c>
      <c r="H7">
        <v>34.519349499999997</v>
      </c>
      <c r="I7">
        <v>177.0767745</v>
      </c>
      <c r="J7">
        <v>7.1346076849999998</v>
      </c>
      <c r="K7">
        <v>131.73059624999999</v>
      </c>
      <c r="M7" s="22"/>
      <c r="N7">
        <v>2003</v>
      </c>
      <c r="O7">
        <v>34.767968199999999</v>
      </c>
      <c r="P7">
        <v>25.935937899999999</v>
      </c>
      <c r="Q7">
        <f t="shared" ref="Q7:Q24" si="1">AVERAGE(O7:P7)</f>
        <v>30.351953049999999</v>
      </c>
      <c r="R7">
        <v>2003</v>
      </c>
      <c r="S7">
        <v>35.12002734</v>
      </c>
    </row>
    <row r="8" spans="1:19" x14ac:dyDescent="0.35">
      <c r="A8">
        <v>2004</v>
      </c>
      <c r="B8">
        <v>0.51214320199999996</v>
      </c>
      <c r="C8">
        <v>1.1399999999999999</v>
      </c>
      <c r="D8">
        <v>1847.51116</v>
      </c>
      <c r="E8">
        <v>1829.11754</v>
      </c>
      <c r="F8">
        <f t="shared" si="0"/>
        <v>1838.3143500000001</v>
      </c>
      <c r="G8">
        <v>275.12660199999999</v>
      </c>
      <c r="H8">
        <v>38.731363074999997</v>
      </c>
      <c r="I8">
        <v>186.92456425</v>
      </c>
      <c r="J8">
        <v>6.2194855950000001</v>
      </c>
      <c r="K8">
        <v>123.51498624999999</v>
      </c>
      <c r="M8" s="22"/>
      <c r="N8">
        <v>2004</v>
      </c>
      <c r="O8">
        <v>34.680077099999998</v>
      </c>
      <c r="P8">
        <v>25.365625399999999</v>
      </c>
      <c r="Q8">
        <f t="shared" si="1"/>
        <v>30.022851249999999</v>
      </c>
      <c r="R8">
        <v>2004</v>
      </c>
      <c r="S8">
        <v>30.969372433333337</v>
      </c>
    </row>
    <row r="9" spans="1:19" x14ac:dyDescent="0.35">
      <c r="A9">
        <v>2005</v>
      </c>
      <c r="B9">
        <v>0.46210403750000001</v>
      </c>
      <c r="C9">
        <v>0.85</v>
      </c>
      <c r="D9">
        <v>1848.6753100000001</v>
      </c>
      <c r="E9">
        <v>1869.2808199999999</v>
      </c>
      <c r="F9">
        <f t="shared" si="0"/>
        <v>1858.978065</v>
      </c>
      <c r="G9">
        <v>271.42301924999998</v>
      </c>
      <c r="H9">
        <v>36.442640224999998</v>
      </c>
      <c r="I9">
        <v>192.29333875000003</v>
      </c>
      <c r="J9">
        <v>6.4144505250000012</v>
      </c>
      <c r="K9">
        <v>122.847843</v>
      </c>
      <c r="M9" s="22"/>
      <c r="N9">
        <v>2005</v>
      </c>
      <c r="O9">
        <v>35.851952574999999</v>
      </c>
      <c r="P9">
        <v>25.355859774999999</v>
      </c>
      <c r="Q9">
        <f t="shared" si="1"/>
        <v>30.603906174999999</v>
      </c>
      <c r="R9">
        <v>2005</v>
      </c>
      <c r="S9">
        <v>30.664595219999995</v>
      </c>
    </row>
    <row r="10" spans="1:19" x14ac:dyDescent="0.35">
      <c r="A10">
        <v>2006</v>
      </c>
      <c r="B10">
        <v>0.38026559324999998</v>
      </c>
      <c r="C10">
        <v>1.28</v>
      </c>
      <c r="D10">
        <v>1842.38888</v>
      </c>
      <c r="E10">
        <v>1843.55304</v>
      </c>
      <c r="F10">
        <f t="shared" si="0"/>
        <v>1842.9709600000001</v>
      </c>
      <c r="G10">
        <v>277.03831474999998</v>
      </c>
      <c r="H10">
        <v>28.393404324999999</v>
      </c>
      <c r="I10">
        <v>192.59705750000001</v>
      </c>
      <c r="J10">
        <v>7.2774302125000006</v>
      </c>
      <c r="K10">
        <v>122.55900550000001</v>
      </c>
      <c r="M10" s="22"/>
      <c r="N10">
        <v>2006</v>
      </c>
      <c r="O10">
        <v>35.273827099999998</v>
      </c>
      <c r="P10">
        <v>25.000391024999999</v>
      </c>
      <c r="Q10">
        <f t="shared" si="1"/>
        <v>30.137109062499999</v>
      </c>
      <c r="R10">
        <v>2006</v>
      </c>
      <c r="S10" s="1">
        <v>24.192968366666666</v>
      </c>
    </row>
    <row r="11" spans="1:19" x14ac:dyDescent="0.35">
      <c r="A11">
        <v>2007</v>
      </c>
      <c r="B11">
        <v>0.47869125749999997</v>
      </c>
      <c r="C11">
        <v>1.33</v>
      </c>
      <c r="D11">
        <v>1856.2423100000001</v>
      </c>
      <c r="E11">
        <v>1836.68453</v>
      </c>
      <c r="F11">
        <f t="shared" si="0"/>
        <v>1846.46342</v>
      </c>
      <c r="G11">
        <v>271.61363974999995</v>
      </c>
      <c r="H11">
        <v>29.412350924999995</v>
      </c>
      <c r="I11">
        <v>187.30920399999999</v>
      </c>
      <c r="J11">
        <v>7.3280064224999997</v>
      </c>
      <c r="K11">
        <v>124.40067675</v>
      </c>
      <c r="M11" s="22"/>
      <c r="N11">
        <v>2007</v>
      </c>
      <c r="O11">
        <v>35.701560999999998</v>
      </c>
      <c r="P11">
        <v>25.535547274999999</v>
      </c>
      <c r="Q11">
        <f t="shared" si="1"/>
        <v>30.618554137499999</v>
      </c>
      <c r="R11">
        <v>2007</v>
      </c>
      <c r="S11">
        <v>31.630679599999997</v>
      </c>
    </row>
    <row r="12" spans="1:19" x14ac:dyDescent="0.35">
      <c r="A12">
        <v>2008</v>
      </c>
      <c r="B12">
        <v>0.49818733299999995</v>
      </c>
      <c r="C12">
        <v>1.43</v>
      </c>
      <c r="D12">
        <v>1858.68703</v>
      </c>
      <c r="E12">
        <v>1853.6811700000001</v>
      </c>
      <c r="F12">
        <f t="shared" si="0"/>
        <v>1856.1840999999999</v>
      </c>
      <c r="G12">
        <v>272.78157825</v>
      </c>
      <c r="H12">
        <v>41.043141724999998</v>
      </c>
      <c r="I12">
        <v>167.18426149999999</v>
      </c>
      <c r="J12">
        <v>9.0384106749999997</v>
      </c>
      <c r="K12">
        <v>131.56874074999999</v>
      </c>
      <c r="M12" s="22"/>
      <c r="N12">
        <v>2008</v>
      </c>
      <c r="O12">
        <v>31.367577574999999</v>
      </c>
      <c r="P12">
        <v>23.613672274999999</v>
      </c>
      <c r="Q12">
        <f t="shared" si="1"/>
        <v>27.490624924999999</v>
      </c>
      <c r="R12">
        <v>2008</v>
      </c>
      <c r="S12">
        <v>45.555651699999999</v>
      </c>
    </row>
    <row r="13" spans="1:19" x14ac:dyDescent="0.35">
      <c r="A13">
        <v>2009</v>
      </c>
      <c r="B13">
        <v>0.52644844350000009</v>
      </c>
      <c r="C13">
        <v>1.5</v>
      </c>
      <c r="D13">
        <v>1888.37294</v>
      </c>
      <c r="E13">
        <v>1839.3620800000001</v>
      </c>
      <c r="F13">
        <f t="shared" si="0"/>
        <v>1863.86751</v>
      </c>
      <c r="G13">
        <v>274.46686549999998</v>
      </c>
      <c r="H13">
        <v>36.524636000000001</v>
      </c>
      <c r="I13">
        <v>199.86731349999999</v>
      </c>
      <c r="J13">
        <v>8.0629778425000005</v>
      </c>
      <c r="K13">
        <v>131.87806699999999</v>
      </c>
      <c r="M13" s="22"/>
      <c r="N13">
        <v>2009</v>
      </c>
      <c r="O13">
        <v>37.391014124999998</v>
      </c>
      <c r="P13">
        <v>25.517969149999999</v>
      </c>
      <c r="Q13">
        <f t="shared" si="1"/>
        <v>31.454491637499999</v>
      </c>
      <c r="R13">
        <v>2009</v>
      </c>
      <c r="S13" s="4">
        <v>20.159573549999998</v>
      </c>
    </row>
    <row r="14" spans="1:19" x14ac:dyDescent="0.35">
      <c r="A14">
        <v>2010</v>
      </c>
      <c r="B14">
        <v>0.50550745424999999</v>
      </c>
      <c r="C14">
        <v>1.46</v>
      </c>
      <c r="D14">
        <v>1891.28332</v>
      </c>
      <c r="E14">
        <v>1846.5798299999999</v>
      </c>
      <c r="F14">
        <f t="shared" si="0"/>
        <v>1868.9315750000001</v>
      </c>
      <c r="G14">
        <v>274.6217805</v>
      </c>
      <c r="H14">
        <v>33.007382075000002</v>
      </c>
      <c r="I14">
        <v>186.17069649999999</v>
      </c>
      <c r="J14">
        <v>10.020691945000001</v>
      </c>
      <c r="K14">
        <v>133.81672474999999</v>
      </c>
      <c r="M14" s="22"/>
      <c r="N14">
        <v>2010</v>
      </c>
      <c r="O14">
        <v>37.055076624999998</v>
      </c>
      <c r="P14">
        <v>26.221094149999999</v>
      </c>
      <c r="Q14">
        <f t="shared" si="1"/>
        <v>31.638085387499999</v>
      </c>
      <c r="R14">
        <v>2010</v>
      </c>
      <c r="S14">
        <v>28.482752466666668</v>
      </c>
    </row>
    <row r="15" spans="1:19" x14ac:dyDescent="0.35">
      <c r="A15">
        <v>2011</v>
      </c>
      <c r="B15">
        <v>0.47661652400000004</v>
      </c>
      <c r="C15">
        <v>1.76</v>
      </c>
      <c r="D15">
        <v>1870.6778099999999</v>
      </c>
      <c r="E15">
        <v>1873.8210200000001</v>
      </c>
      <c r="F15">
        <f t="shared" si="0"/>
        <v>1872.249415</v>
      </c>
      <c r="G15">
        <v>270.69836425</v>
      </c>
      <c r="H15">
        <v>34.718151099999993</v>
      </c>
      <c r="I15">
        <v>180.27299875</v>
      </c>
      <c r="J15">
        <v>9.3675158674999999</v>
      </c>
      <c r="K15">
        <v>134.21068575000001</v>
      </c>
      <c r="M15" s="22"/>
      <c r="N15">
        <v>2011</v>
      </c>
      <c r="O15">
        <v>31.949608824999999</v>
      </c>
      <c r="P15">
        <v>24.779687899999999</v>
      </c>
      <c r="Q15">
        <f t="shared" si="1"/>
        <v>28.364648362499999</v>
      </c>
      <c r="R15">
        <v>2011</v>
      </c>
      <c r="S15">
        <v>37.165320399999999</v>
      </c>
    </row>
    <row r="16" spans="1:19" x14ac:dyDescent="0.35">
      <c r="A16">
        <v>2012</v>
      </c>
      <c r="B16">
        <v>0.55242963899999997</v>
      </c>
      <c r="C16">
        <v>1</v>
      </c>
      <c r="D16">
        <v>1888.37294</v>
      </c>
      <c r="E16">
        <v>1864.04213</v>
      </c>
      <c r="F16">
        <f t="shared" si="0"/>
        <v>1876.207535</v>
      </c>
      <c r="G16">
        <v>274.48100299999999</v>
      </c>
      <c r="H16">
        <v>40.448866299999999</v>
      </c>
      <c r="I16">
        <v>194.10850525000001</v>
      </c>
      <c r="J16">
        <v>8.6540535824999996</v>
      </c>
      <c r="K16">
        <v>130.38203264999999</v>
      </c>
      <c r="M16" s="22"/>
      <c r="N16">
        <v>2012</v>
      </c>
      <c r="O16">
        <v>35.937890074999999</v>
      </c>
      <c r="P16">
        <v>25.291406649999999</v>
      </c>
      <c r="Q16">
        <f t="shared" si="1"/>
        <v>30.614648362499999</v>
      </c>
      <c r="R16">
        <v>2012</v>
      </c>
      <c r="S16">
        <v>30.563930525</v>
      </c>
    </row>
    <row r="17" spans="1:19" x14ac:dyDescent="0.35">
      <c r="A17">
        <v>2013</v>
      </c>
      <c r="B17">
        <v>0.46842481949999998</v>
      </c>
      <c r="C17">
        <v>1.1399999999999999</v>
      </c>
      <c r="D17">
        <v>1857.7557099999999</v>
      </c>
      <c r="E17">
        <v>1867.65101</v>
      </c>
      <c r="F17">
        <f t="shared" si="0"/>
        <v>1862.70336</v>
      </c>
      <c r="G17">
        <v>276.31607824999998</v>
      </c>
      <c r="H17">
        <v>30.525695650000003</v>
      </c>
      <c r="I17">
        <v>199.29460500000002</v>
      </c>
      <c r="J17">
        <v>11.465515874999999</v>
      </c>
      <c r="K17">
        <v>132.35117349999999</v>
      </c>
      <c r="M17" s="22"/>
      <c r="N17">
        <v>2013</v>
      </c>
      <c r="O17">
        <v>32.951561949999999</v>
      </c>
      <c r="P17">
        <v>24.889062899999999</v>
      </c>
      <c r="Q17">
        <f t="shared" si="1"/>
        <v>28.920312424999999</v>
      </c>
      <c r="R17">
        <v>2013</v>
      </c>
      <c r="S17">
        <v>30.3311116</v>
      </c>
    </row>
    <row r="18" spans="1:19" x14ac:dyDescent="0.35">
      <c r="A18">
        <v>2014</v>
      </c>
      <c r="B18">
        <v>0.52104955175000001</v>
      </c>
      <c r="C18">
        <v>1.08</v>
      </c>
      <c r="D18">
        <v>1869.39724</v>
      </c>
      <c r="E18">
        <v>1873.23894</v>
      </c>
      <c r="F18">
        <f t="shared" si="0"/>
        <v>1871.31809</v>
      </c>
      <c r="G18">
        <v>275.70959449999998</v>
      </c>
      <c r="H18">
        <v>39.432771025000001</v>
      </c>
      <c r="I18">
        <v>201.13606250000001</v>
      </c>
      <c r="J18">
        <v>8.2089964824999999</v>
      </c>
      <c r="K18">
        <v>122.11224575</v>
      </c>
      <c r="M18" s="22"/>
      <c r="N18">
        <v>2014</v>
      </c>
      <c r="O18">
        <v>37.008201624999998</v>
      </c>
      <c r="P18">
        <v>26.139062899999999</v>
      </c>
      <c r="Q18">
        <f t="shared" si="1"/>
        <v>31.573632262499999</v>
      </c>
      <c r="R18">
        <v>2014</v>
      </c>
      <c r="S18">
        <v>27.963450250000005</v>
      </c>
    </row>
    <row r="19" spans="1:19" x14ac:dyDescent="0.35">
      <c r="A19">
        <v>2015</v>
      </c>
      <c r="B19">
        <v>0.48357663325000005</v>
      </c>
      <c r="C19">
        <v>1.78</v>
      </c>
      <c r="D19">
        <v>1884.2983999999999</v>
      </c>
      <c r="E19">
        <v>1864.5077900000001</v>
      </c>
      <c r="F19">
        <f t="shared" si="0"/>
        <v>1874.4030950000001</v>
      </c>
      <c r="G19">
        <v>282.72115350000001</v>
      </c>
      <c r="H19">
        <v>37.775076850000005</v>
      </c>
      <c r="I19">
        <v>203.699421</v>
      </c>
      <c r="J19">
        <v>7.2461637799999998</v>
      </c>
      <c r="K19">
        <v>122.065279</v>
      </c>
      <c r="M19" s="22"/>
      <c r="N19">
        <v>2015</v>
      </c>
      <c r="O19">
        <v>36.726951624999998</v>
      </c>
      <c r="P19">
        <v>25.836328524999999</v>
      </c>
      <c r="Q19">
        <f t="shared" si="1"/>
        <v>31.281640074999999</v>
      </c>
      <c r="R19">
        <v>2015</v>
      </c>
      <c r="S19">
        <v>29.145523700000002</v>
      </c>
    </row>
    <row r="20" spans="1:19" x14ac:dyDescent="0.35">
      <c r="A20">
        <v>2016</v>
      </c>
      <c r="B20">
        <v>0.46385324724999999</v>
      </c>
      <c r="C20">
        <v>0.73</v>
      </c>
      <c r="D20">
        <v>1905.6024</v>
      </c>
      <c r="E20">
        <v>1880.3402799999999</v>
      </c>
      <c r="F20">
        <f t="shared" si="0"/>
        <v>1892.9713400000001</v>
      </c>
      <c r="G20">
        <v>271.37103275000004</v>
      </c>
      <c r="H20">
        <v>32.992296375000002</v>
      </c>
      <c r="I20">
        <v>185.98047399999999</v>
      </c>
      <c r="J20">
        <v>10.078463172499999</v>
      </c>
      <c r="K20">
        <v>133.13684075</v>
      </c>
      <c r="M20" s="22"/>
      <c r="N20">
        <v>2016</v>
      </c>
      <c r="O20">
        <v>33.639062424999999</v>
      </c>
      <c r="P20">
        <v>25.801172274999999</v>
      </c>
      <c r="Q20">
        <f t="shared" si="1"/>
        <v>29.720117349999999</v>
      </c>
      <c r="R20">
        <v>2016</v>
      </c>
      <c r="S20" s="2">
        <v>19.316581239999998</v>
      </c>
    </row>
    <row r="21" spans="1:19" x14ac:dyDescent="0.35">
      <c r="A21">
        <v>2017</v>
      </c>
      <c r="B21">
        <v>0.49960897124999992</v>
      </c>
      <c r="C21">
        <v>1.88</v>
      </c>
      <c r="D21">
        <v>1903.9725900000001</v>
      </c>
      <c r="E21">
        <v>1889.07143</v>
      </c>
      <c r="F21">
        <f t="shared" si="0"/>
        <v>1896.5220100000001</v>
      </c>
      <c r="G21">
        <v>273.41661825</v>
      </c>
      <c r="H21">
        <v>42.211239424999995</v>
      </c>
      <c r="I21">
        <v>183.38615800000002</v>
      </c>
      <c r="J21">
        <v>8.2088920099999996</v>
      </c>
      <c r="K21">
        <v>124.98727249999999</v>
      </c>
      <c r="M21" s="22"/>
      <c r="N21">
        <v>2017</v>
      </c>
      <c r="O21">
        <v>34.992577574999999</v>
      </c>
      <c r="P21">
        <v>25.307031649999999</v>
      </c>
      <c r="Q21">
        <f t="shared" si="1"/>
        <v>30.149804612499999</v>
      </c>
      <c r="R21">
        <v>2017</v>
      </c>
      <c r="S21">
        <v>38.568489100000001</v>
      </c>
    </row>
    <row r="22" spans="1:19" x14ac:dyDescent="0.35">
      <c r="A22">
        <v>2018</v>
      </c>
      <c r="B22">
        <v>0.48198177650000001</v>
      </c>
      <c r="C22">
        <v>2.19</v>
      </c>
      <c r="D22">
        <v>1915.73054</v>
      </c>
      <c r="E22">
        <v>1893.6116199999999</v>
      </c>
      <c r="F22">
        <f t="shared" si="0"/>
        <v>1904.6710800000001</v>
      </c>
      <c r="G22">
        <v>276.25913249999996</v>
      </c>
      <c r="H22">
        <v>41.572156300000003</v>
      </c>
      <c r="I22">
        <v>192.48504249999999</v>
      </c>
      <c r="J22">
        <v>7.8556713350000003</v>
      </c>
      <c r="K22">
        <v>125.51714900000002</v>
      </c>
      <c r="M22" s="22"/>
      <c r="N22">
        <v>2018</v>
      </c>
      <c r="O22">
        <v>34.396874924999999</v>
      </c>
      <c r="P22">
        <v>24.766016024999999</v>
      </c>
      <c r="Q22">
        <f t="shared" si="1"/>
        <v>29.581445474999999</v>
      </c>
      <c r="R22">
        <v>2018</v>
      </c>
      <c r="S22">
        <v>23.891687020000003</v>
      </c>
    </row>
    <row r="23" spans="1:19" x14ac:dyDescent="0.35">
      <c r="A23">
        <v>2019</v>
      </c>
      <c r="B23">
        <v>0.45515517900000002</v>
      </c>
      <c r="C23">
        <v>1.75</v>
      </c>
      <c r="D23">
        <v>1882.2029199999999</v>
      </c>
      <c r="E23">
        <v>1897.4533300000001</v>
      </c>
      <c r="F23">
        <f t="shared" si="0"/>
        <v>1889.828125</v>
      </c>
      <c r="G23">
        <v>271.67803175</v>
      </c>
      <c r="H23">
        <v>35.244803974999996</v>
      </c>
      <c r="I23">
        <v>183.4897345</v>
      </c>
      <c r="J23">
        <v>9.2577052649999985</v>
      </c>
      <c r="K23">
        <v>135.26459699999998</v>
      </c>
      <c r="M23" s="22"/>
      <c r="N23">
        <v>2019</v>
      </c>
      <c r="O23">
        <v>35.873436949999999</v>
      </c>
      <c r="P23">
        <v>25.535547274999999</v>
      </c>
      <c r="Q23">
        <f t="shared" si="1"/>
        <v>30.704492112499999</v>
      </c>
      <c r="R23">
        <v>2019</v>
      </c>
      <c r="S23">
        <v>49.104253780000001</v>
      </c>
    </row>
    <row r="24" spans="1:19" x14ac:dyDescent="0.35">
      <c r="A24">
        <v>2020</v>
      </c>
      <c r="B24">
        <v>0.46803329900000001</v>
      </c>
      <c r="C24">
        <v>1.83</v>
      </c>
      <c r="D24">
        <v>1918.5245</v>
      </c>
      <c r="E24">
        <v>1893.72804</v>
      </c>
      <c r="F24">
        <f t="shared" si="0"/>
        <v>1906.12627</v>
      </c>
      <c r="G24">
        <v>268.72658524999997</v>
      </c>
      <c r="H24">
        <v>33.025620424999993</v>
      </c>
      <c r="I24">
        <v>175.14380274999996</v>
      </c>
      <c r="J24">
        <v>8.5895636150000012</v>
      </c>
      <c r="K24">
        <v>125.518917</v>
      </c>
      <c r="M24" s="22"/>
      <c r="N24">
        <v>2020</v>
      </c>
      <c r="O24">
        <v>33.578514124999998</v>
      </c>
      <c r="P24">
        <v>25.654687899999999</v>
      </c>
      <c r="Q24">
        <f t="shared" si="1"/>
        <v>29.616601012499999</v>
      </c>
      <c r="R24">
        <v>2020</v>
      </c>
      <c r="S24">
        <v>28.35903545</v>
      </c>
    </row>
    <row r="25" spans="1:19" x14ac:dyDescent="0.35">
      <c r="M25" s="22"/>
    </row>
  </sheetData>
  <mergeCells count="5">
    <mergeCell ref="A1:K1"/>
    <mergeCell ref="M1:M25"/>
    <mergeCell ref="N1:P1"/>
    <mergeCell ref="N2:P2"/>
    <mergeCell ref="R2: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306F-5F43-43C7-BB1A-AC4B393F676D}">
  <dimension ref="A1:S29"/>
  <sheetViews>
    <sheetView topLeftCell="A12" workbookViewId="0">
      <selection activeCell="Q3" sqref="Q3"/>
    </sheetView>
  </sheetViews>
  <sheetFormatPr defaultRowHeight="14.5" x14ac:dyDescent="0.35"/>
  <sheetData>
    <row r="1" spans="1:19" x14ac:dyDescent="0.35">
      <c r="A1" s="26" t="s">
        <v>108</v>
      </c>
      <c r="B1" s="26"/>
      <c r="C1" s="26"/>
      <c r="D1" s="26"/>
      <c r="E1" s="26"/>
      <c r="F1" s="26"/>
      <c r="G1" s="26"/>
      <c r="H1" s="26"/>
      <c r="I1" s="26"/>
      <c r="J1" s="26"/>
      <c r="K1" s="26"/>
      <c r="M1" s="22" t="s">
        <v>13</v>
      </c>
      <c r="N1" s="23" t="s">
        <v>5</v>
      </c>
      <c r="O1" s="23"/>
      <c r="P1" s="23"/>
      <c r="Q1" s="14"/>
      <c r="R1" s="3" t="s">
        <v>11</v>
      </c>
      <c r="S1" s="3"/>
    </row>
    <row r="2" spans="1:19" x14ac:dyDescent="0.35">
      <c r="A2" s="8"/>
      <c r="B2" s="8"/>
      <c r="C2" s="8"/>
      <c r="D2" s="8" t="s">
        <v>17</v>
      </c>
      <c r="E2" s="8" t="s">
        <v>17</v>
      </c>
      <c r="F2" s="8" t="s">
        <v>109</v>
      </c>
      <c r="G2" s="8" t="s">
        <v>45</v>
      </c>
      <c r="H2" s="8" t="s">
        <v>55</v>
      </c>
      <c r="I2" s="8" t="s">
        <v>19</v>
      </c>
      <c r="J2" s="8" t="s">
        <v>55</v>
      </c>
      <c r="K2" s="8" t="s">
        <v>17</v>
      </c>
      <c r="M2" s="22"/>
      <c r="N2" s="24" t="s">
        <v>63</v>
      </c>
      <c r="O2" s="24"/>
      <c r="P2" s="24"/>
      <c r="Q2" s="15" t="s">
        <v>113</v>
      </c>
      <c r="R2" s="24" t="s">
        <v>12</v>
      </c>
      <c r="S2" s="24"/>
    </row>
    <row r="3" spans="1:19" x14ac:dyDescent="0.35">
      <c r="A3" t="s">
        <v>0</v>
      </c>
      <c r="B3" t="s">
        <v>21</v>
      </c>
      <c r="C3" t="s">
        <v>14</v>
      </c>
      <c r="D3" t="s">
        <v>23</v>
      </c>
      <c r="E3" t="s">
        <v>24</v>
      </c>
      <c r="F3" s="19" t="s">
        <v>110</v>
      </c>
      <c r="G3" t="s">
        <v>56</v>
      </c>
      <c r="H3" t="s">
        <v>57</v>
      </c>
      <c r="I3" t="s">
        <v>58</v>
      </c>
      <c r="J3" t="s">
        <v>59</v>
      </c>
      <c r="K3" t="s">
        <v>29</v>
      </c>
      <c r="M3" s="22"/>
      <c r="N3" t="s">
        <v>2</v>
      </c>
      <c r="O3" t="s">
        <v>3</v>
      </c>
      <c r="P3" t="s">
        <v>4</v>
      </c>
      <c r="Q3" s="19" t="s">
        <v>114</v>
      </c>
      <c r="R3" t="s">
        <v>8</v>
      </c>
    </row>
    <row r="4" spans="1:19" x14ac:dyDescent="0.35">
      <c r="A4">
        <v>2000</v>
      </c>
      <c r="B4">
        <v>0.39410486075000006</v>
      </c>
      <c r="C4">
        <v>2.1</v>
      </c>
      <c r="G4">
        <v>267.48838050000001</v>
      </c>
      <c r="H4">
        <v>35.041817774999998</v>
      </c>
      <c r="I4">
        <v>179.21712100000002</v>
      </c>
      <c r="J4">
        <v>7.5645758499999998</v>
      </c>
      <c r="K4">
        <v>137.42772099999999</v>
      </c>
      <c r="M4" s="22"/>
      <c r="N4">
        <v>2000</v>
      </c>
      <c r="R4">
        <v>2000</v>
      </c>
      <c r="S4">
        <v>40.519664766666665</v>
      </c>
    </row>
    <row r="5" spans="1:19" x14ac:dyDescent="0.35">
      <c r="A5">
        <v>2001</v>
      </c>
      <c r="B5">
        <v>0.40292996150000004</v>
      </c>
      <c r="C5">
        <v>1.83</v>
      </c>
      <c r="G5">
        <v>271.52481825000001</v>
      </c>
      <c r="H5">
        <v>35.349789224999995</v>
      </c>
      <c r="I5">
        <v>175.75292974999999</v>
      </c>
      <c r="J5">
        <v>7.9445746624999991</v>
      </c>
      <c r="K5">
        <v>140.77586174999999</v>
      </c>
      <c r="M5" s="22"/>
      <c r="N5">
        <v>2001</v>
      </c>
      <c r="R5">
        <v>2001</v>
      </c>
      <c r="S5">
        <v>39.996119800000002</v>
      </c>
    </row>
    <row r="6" spans="1:19" x14ac:dyDescent="0.35">
      <c r="A6">
        <v>2002</v>
      </c>
      <c r="B6">
        <v>0.50890369675000002</v>
      </c>
      <c r="C6">
        <v>2</v>
      </c>
      <c r="D6">
        <v>1876.2657400000001</v>
      </c>
      <c r="E6">
        <v>1887.0341600000002</v>
      </c>
      <c r="F6">
        <f>AVERAGE(D6:E6)</f>
        <v>1881.64995</v>
      </c>
      <c r="G6">
        <v>267.81286624999996</v>
      </c>
      <c r="H6">
        <v>40.939077224999998</v>
      </c>
      <c r="I6">
        <v>185.13460900000001</v>
      </c>
      <c r="J6">
        <v>7.0249862025000001</v>
      </c>
      <c r="K6">
        <v>137.6547127</v>
      </c>
      <c r="M6" s="22"/>
      <c r="N6">
        <v>2002</v>
      </c>
      <c r="R6">
        <v>2002</v>
      </c>
      <c r="S6">
        <v>29.8056135</v>
      </c>
    </row>
    <row r="7" spans="1:19" x14ac:dyDescent="0.35">
      <c r="A7">
        <v>2003</v>
      </c>
      <c r="B7">
        <v>0.37963820999999998</v>
      </c>
      <c r="C7">
        <v>1.9</v>
      </c>
      <c r="D7">
        <v>1853.56475</v>
      </c>
      <c r="E7">
        <v>1851.2364500000001</v>
      </c>
      <c r="F7">
        <f t="shared" ref="F7:F24" si="0">AVERAGE(D7:E7)</f>
        <v>1852.4005999999999</v>
      </c>
      <c r="G7">
        <v>270.57929999999999</v>
      </c>
      <c r="H7">
        <v>30.404884375000002</v>
      </c>
      <c r="I7">
        <v>168.53087224999999</v>
      </c>
      <c r="J7">
        <v>8.3766511524999991</v>
      </c>
      <c r="K7">
        <v>145.76941275000001</v>
      </c>
      <c r="M7" s="22"/>
      <c r="N7">
        <v>2003</v>
      </c>
      <c r="O7">
        <v>31.965233824999999</v>
      </c>
      <c r="P7">
        <v>24.469141024999999</v>
      </c>
      <c r="Q7">
        <f>AVERAGE(O7:P7)</f>
        <v>28.217187424999999</v>
      </c>
      <c r="R7">
        <v>2003</v>
      </c>
      <c r="S7">
        <v>35.12002734</v>
      </c>
    </row>
    <row r="8" spans="1:19" x14ac:dyDescent="0.35">
      <c r="A8">
        <v>2004</v>
      </c>
      <c r="B8">
        <v>0.48905953024999999</v>
      </c>
      <c r="C8">
        <v>2.33</v>
      </c>
      <c r="D8">
        <v>1847.51116</v>
      </c>
      <c r="E8">
        <v>1829.11754</v>
      </c>
      <c r="F8">
        <f t="shared" si="0"/>
        <v>1838.3143500000001</v>
      </c>
      <c r="G8">
        <v>271.98901349999994</v>
      </c>
      <c r="H8">
        <v>39.170835924999999</v>
      </c>
      <c r="I8">
        <v>179.2331465</v>
      </c>
      <c r="J8">
        <v>6.8875779550000003</v>
      </c>
      <c r="K8">
        <v>138.21231850000001</v>
      </c>
      <c r="M8" s="22"/>
      <c r="N8">
        <v>2004</v>
      </c>
      <c r="O8">
        <v>33.428123974999998</v>
      </c>
      <c r="P8">
        <v>24.191797274999999</v>
      </c>
      <c r="Q8">
        <f t="shared" ref="Q8:Q24" si="1">AVERAGE(O8:P8)</f>
        <v>28.809960624999999</v>
      </c>
      <c r="R8">
        <v>2004</v>
      </c>
      <c r="S8">
        <v>30.969372433333337</v>
      </c>
    </row>
    <row r="9" spans="1:19" x14ac:dyDescent="0.35">
      <c r="A9">
        <v>2005</v>
      </c>
      <c r="B9">
        <v>0.43132185200000001</v>
      </c>
      <c r="C9">
        <v>1.79</v>
      </c>
      <c r="D9">
        <v>1848.6753100000001</v>
      </c>
      <c r="E9">
        <v>1869.2808199999999</v>
      </c>
      <c r="F9">
        <f t="shared" si="0"/>
        <v>1858.978065</v>
      </c>
      <c r="G9">
        <v>265.82466875</v>
      </c>
      <c r="H9">
        <v>36.090048224999997</v>
      </c>
      <c r="I9">
        <v>178.14090725000003</v>
      </c>
      <c r="J9">
        <v>7.855728945000001</v>
      </c>
      <c r="K9">
        <v>141.92551600000002</v>
      </c>
      <c r="M9" s="22"/>
      <c r="N9">
        <v>2005</v>
      </c>
      <c r="O9">
        <v>32.599999449999999</v>
      </c>
      <c r="P9">
        <v>23.840234774999999</v>
      </c>
      <c r="Q9">
        <f t="shared" si="1"/>
        <v>28.220117112499999</v>
      </c>
      <c r="R9">
        <v>2005</v>
      </c>
      <c r="S9">
        <v>30.664595219999995</v>
      </c>
    </row>
    <row r="10" spans="1:19" x14ac:dyDescent="0.35">
      <c r="A10">
        <v>2006</v>
      </c>
      <c r="B10">
        <v>0.36301168024999997</v>
      </c>
      <c r="C10">
        <v>2.02</v>
      </c>
      <c r="D10">
        <v>1842.38888</v>
      </c>
      <c r="E10">
        <v>1843.55304</v>
      </c>
      <c r="F10">
        <f t="shared" si="0"/>
        <v>1842.9709600000001</v>
      </c>
      <c r="G10">
        <v>273.00029749999999</v>
      </c>
      <c r="H10">
        <v>27.909231550000001</v>
      </c>
      <c r="I10">
        <v>187.04188549999998</v>
      </c>
      <c r="J10">
        <v>7.5459654075000007</v>
      </c>
      <c r="K10">
        <v>136.63303925</v>
      </c>
      <c r="M10" s="22"/>
      <c r="N10">
        <v>2006</v>
      </c>
      <c r="O10">
        <v>33.344139599999998</v>
      </c>
      <c r="P10">
        <v>23.732812899999999</v>
      </c>
      <c r="Q10">
        <f t="shared" si="1"/>
        <v>28.538476249999999</v>
      </c>
      <c r="R10">
        <v>2006</v>
      </c>
      <c r="S10" s="1">
        <v>24.192968366666666</v>
      </c>
    </row>
    <row r="11" spans="1:19" x14ac:dyDescent="0.35">
      <c r="A11">
        <v>2007</v>
      </c>
      <c r="B11">
        <v>0.45626332625000005</v>
      </c>
      <c r="C11">
        <v>2.12</v>
      </c>
      <c r="D11">
        <v>1856.2423100000001</v>
      </c>
      <c r="E11">
        <v>1836.68453</v>
      </c>
      <c r="F11">
        <f t="shared" si="0"/>
        <v>1846.46342</v>
      </c>
      <c r="G11">
        <v>266.73670950000002</v>
      </c>
      <c r="H11">
        <v>32.379121475000005</v>
      </c>
      <c r="I11">
        <v>177.85247800000002</v>
      </c>
      <c r="J11">
        <v>8.7131600799999998</v>
      </c>
      <c r="K11">
        <v>141.78805750000001</v>
      </c>
      <c r="M11" s="22"/>
      <c r="N11">
        <v>2007</v>
      </c>
      <c r="O11">
        <v>33.516014124999998</v>
      </c>
      <c r="P11">
        <v>23.766016024999999</v>
      </c>
      <c r="Q11">
        <f t="shared" si="1"/>
        <v>28.641015074999999</v>
      </c>
      <c r="R11">
        <v>2007</v>
      </c>
      <c r="S11">
        <v>31.630679599999997</v>
      </c>
    </row>
    <row r="12" spans="1:19" x14ac:dyDescent="0.35">
      <c r="A12">
        <v>2008</v>
      </c>
      <c r="B12">
        <v>0.50173228950000004</v>
      </c>
      <c r="C12">
        <v>2.15</v>
      </c>
      <c r="D12">
        <v>1858.68703</v>
      </c>
      <c r="E12">
        <v>1853.6811700000001</v>
      </c>
      <c r="F12">
        <f t="shared" si="0"/>
        <v>1856.1840999999999</v>
      </c>
      <c r="G12">
        <v>269.94252025000003</v>
      </c>
      <c r="H12">
        <v>41.620864499999996</v>
      </c>
      <c r="I12">
        <v>169.53678150000002</v>
      </c>
      <c r="J12">
        <v>10.486465237500001</v>
      </c>
      <c r="K12">
        <v>148.18215175</v>
      </c>
      <c r="M12" s="22"/>
      <c r="N12">
        <v>2008</v>
      </c>
      <c r="O12">
        <v>32.213280699999999</v>
      </c>
      <c r="P12">
        <v>23.109766024999999</v>
      </c>
      <c r="Q12">
        <f t="shared" si="1"/>
        <v>27.661523362499999</v>
      </c>
      <c r="R12">
        <v>2008</v>
      </c>
      <c r="S12">
        <v>45.555651699999999</v>
      </c>
    </row>
    <row r="13" spans="1:19" x14ac:dyDescent="0.35">
      <c r="A13">
        <v>2009</v>
      </c>
      <c r="B13">
        <v>0.45968037075000001</v>
      </c>
      <c r="C13">
        <v>2.44</v>
      </c>
      <c r="D13">
        <v>1888.37294</v>
      </c>
      <c r="E13">
        <v>1839.3620800000001</v>
      </c>
      <c r="F13">
        <f t="shared" si="0"/>
        <v>1863.86751</v>
      </c>
      <c r="G13">
        <v>269.20980825000004</v>
      </c>
      <c r="H13">
        <v>36.477433450000007</v>
      </c>
      <c r="I13">
        <v>184.42950075000002</v>
      </c>
      <c r="J13">
        <v>9.4147620725000003</v>
      </c>
      <c r="K13">
        <v>142.83274474999999</v>
      </c>
      <c r="M13" s="22"/>
      <c r="N13">
        <v>2009</v>
      </c>
      <c r="O13">
        <v>33.916404749999998</v>
      </c>
      <c r="P13">
        <v>23.676172274999999</v>
      </c>
      <c r="Q13">
        <f t="shared" si="1"/>
        <v>28.796288512499999</v>
      </c>
      <c r="R13">
        <v>2009</v>
      </c>
      <c r="S13" s="4">
        <v>20.159573549999998</v>
      </c>
    </row>
    <row r="14" spans="1:19" x14ac:dyDescent="0.35">
      <c r="A14">
        <v>2010</v>
      </c>
      <c r="B14">
        <v>0.44842068850000005</v>
      </c>
      <c r="C14">
        <v>2.17</v>
      </c>
      <c r="D14">
        <v>1891.28332</v>
      </c>
      <c r="E14">
        <v>1846.5798299999999</v>
      </c>
      <c r="F14">
        <f t="shared" si="0"/>
        <v>1868.9315750000001</v>
      </c>
      <c r="G14">
        <v>269.28580474999995</v>
      </c>
      <c r="H14">
        <v>29.827366550000001</v>
      </c>
      <c r="I14">
        <v>172.15527724999998</v>
      </c>
      <c r="J14">
        <v>11.697171900000001</v>
      </c>
      <c r="K14">
        <v>151.0942135</v>
      </c>
      <c r="M14" s="22"/>
      <c r="N14">
        <v>2010</v>
      </c>
      <c r="O14">
        <v>33.771873499999998</v>
      </c>
      <c r="P14">
        <v>24.590234774999999</v>
      </c>
      <c r="Q14">
        <f t="shared" si="1"/>
        <v>29.181054137499999</v>
      </c>
      <c r="R14">
        <v>2010</v>
      </c>
      <c r="S14">
        <v>28.482752466666668</v>
      </c>
    </row>
    <row r="15" spans="1:19" x14ac:dyDescent="0.35">
      <c r="A15">
        <v>2011</v>
      </c>
      <c r="B15">
        <v>0.4811910465</v>
      </c>
      <c r="C15">
        <v>2.33</v>
      </c>
      <c r="D15">
        <v>1870.6778099999999</v>
      </c>
      <c r="E15">
        <v>1873.8210200000001</v>
      </c>
      <c r="F15">
        <f t="shared" si="0"/>
        <v>1872.249415</v>
      </c>
      <c r="G15">
        <v>268.18935399999998</v>
      </c>
      <c r="H15">
        <v>38.092597025000003</v>
      </c>
      <c r="I15">
        <v>173.43316275000001</v>
      </c>
      <c r="J15">
        <v>10.33152784</v>
      </c>
      <c r="K15">
        <v>146.51337824999999</v>
      </c>
      <c r="M15" s="22"/>
      <c r="N15">
        <v>2011</v>
      </c>
      <c r="O15">
        <v>31.807030699999999</v>
      </c>
      <c r="P15">
        <v>24.051172274999999</v>
      </c>
      <c r="Q15">
        <f t="shared" si="1"/>
        <v>27.929101487499999</v>
      </c>
      <c r="R15">
        <v>2011</v>
      </c>
      <c r="S15">
        <v>37.165320399999999</v>
      </c>
    </row>
    <row r="16" spans="1:19" x14ac:dyDescent="0.35">
      <c r="A16">
        <v>2012</v>
      </c>
      <c r="B16">
        <v>0.48118654649999998</v>
      </c>
      <c r="C16">
        <v>2.56</v>
      </c>
      <c r="D16">
        <v>1888.37294</v>
      </c>
      <c r="E16">
        <v>1864.04213</v>
      </c>
      <c r="F16">
        <f t="shared" si="0"/>
        <v>1876.207535</v>
      </c>
      <c r="G16">
        <v>269.46714025</v>
      </c>
      <c r="H16">
        <v>38.150913525000007</v>
      </c>
      <c r="I16">
        <v>183.73623650000002</v>
      </c>
      <c r="J16">
        <v>12.812147785000001</v>
      </c>
      <c r="K16">
        <v>147.22197174999999</v>
      </c>
      <c r="M16" s="22"/>
      <c r="N16">
        <v>2012</v>
      </c>
      <c r="O16">
        <v>32.709374449999999</v>
      </c>
      <c r="P16">
        <v>23.092187899999999</v>
      </c>
      <c r="Q16">
        <f t="shared" si="1"/>
        <v>27.900781174999999</v>
      </c>
      <c r="R16">
        <v>2012</v>
      </c>
      <c r="S16">
        <v>30.563930525</v>
      </c>
    </row>
    <row r="17" spans="1:19" x14ac:dyDescent="0.35">
      <c r="A17">
        <v>2013</v>
      </c>
      <c r="B17">
        <v>0.41128138449999996</v>
      </c>
      <c r="C17">
        <v>2.87</v>
      </c>
      <c r="D17">
        <v>1857.7557099999999</v>
      </c>
      <c r="E17">
        <v>1867.65101</v>
      </c>
      <c r="F17">
        <f t="shared" si="0"/>
        <v>1862.70336</v>
      </c>
      <c r="G17">
        <v>272.13656624999999</v>
      </c>
      <c r="H17">
        <v>30.142145175000003</v>
      </c>
      <c r="I17">
        <v>188.75786575000001</v>
      </c>
      <c r="J17">
        <v>11.465515874999999</v>
      </c>
      <c r="K17">
        <v>145.47579575</v>
      </c>
      <c r="M17" s="22"/>
      <c r="N17">
        <v>2013</v>
      </c>
      <c r="O17">
        <v>31.170312424999999</v>
      </c>
      <c r="P17">
        <v>23.697656649999999</v>
      </c>
      <c r="Q17">
        <f t="shared" si="1"/>
        <v>27.433984537499999</v>
      </c>
      <c r="R17">
        <v>2013</v>
      </c>
      <c r="S17">
        <v>30.3311116</v>
      </c>
    </row>
    <row r="18" spans="1:19" x14ac:dyDescent="0.35">
      <c r="A18">
        <v>2014</v>
      </c>
      <c r="B18">
        <v>0.49241622549999997</v>
      </c>
      <c r="C18">
        <v>2.64</v>
      </c>
      <c r="D18">
        <v>1869.39724</v>
      </c>
      <c r="E18">
        <v>1873.23894</v>
      </c>
      <c r="F18">
        <f t="shared" si="0"/>
        <v>1871.31809</v>
      </c>
      <c r="G18">
        <v>272.02042374999996</v>
      </c>
      <c r="H18">
        <v>38.987380975000001</v>
      </c>
      <c r="I18">
        <v>186.73649599999999</v>
      </c>
      <c r="J18">
        <v>10.390015612499999</v>
      </c>
      <c r="K18">
        <v>134.43426525000001</v>
      </c>
      <c r="M18" s="22"/>
      <c r="N18">
        <v>2014</v>
      </c>
      <c r="O18">
        <v>33.607810999999998</v>
      </c>
      <c r="P18">
        <v>24.594141024999999</v>
      </c>
      <c r="Q18">
        <f t="shared" si="1"/>
        <v>29.100976012499999</v>
      </c>
      <c r="R18">
        <v>2014</v>
      </c>
      <c r="S18">
        <v>27.963450250000005</v>
      </c>
    </row>
    <row r="19" spans="1:19" x14ac:dyDescent="0.35">
      <c r="A19">
        <v>2015</v>
      </c>
      <c r="B19">
        <v>0.48589285474999999</v>
      </c>
      <c r="C19">
        <v>2.1</v>
      </c>
      <c r="D19">
        <v>1884.2983999999999</v>
      </c>
      <c r="E19">
        <v>1864.5077900000001</v>
      </c>
      <c r="F19">
        <f t="shared" si="0"/>
        <v>1874.4030950000001</v>
      </c>
      <c r="G19">
        <v>278.85736874999998</v>
      </c>
      <c r="H19">
        <v>40.0748198</v>
      </c>
      <c r="I19">
        <v>190.74512099999998</v>
      </c>
      <c r="J19">
        <v>8.2691561275000005</v>
      </c>
      <c r="K19">
        <v>136.71599574999999</v>
      </c>
      <c r="M19" s="22"/>
      <c r="N19">
        <v>2015</v>
      </c>
      <c r="O19">
        <v>34.990623499999998</v>
      </c>
      <c r="P19">
        <v>24.264062899999999</v>
      </c>
      <c r="Q19">
        <f t="shared" si="1"/>
        <v>29.627343199999999</v>
      </c>
      <c r="R19">
        <v>2015</v>
      </c>
      <c r="S19">
        <v>29.145523700000002</v>
      </c>
    </row>
    <row r="20" spans="1:19" x14ac:dyDescent="0.35">
      <c r="A20">
        <v>2016</v>
      </c>
      <c r="B20">
        <v>0.42827927300000002</v>
      </c>
      <c r="C20">
        <v>1.83</v>
      </c>
      <c r="D20">
        <v>1905.6024</v>
      </c>
      <c r="E20">
        <v>1880.3402799999999</v>
      </c>
      <c r="F20">
        <f t="shared" si="0"/>
        <v>1892.9713400000001</v>
      </c>
      <c r="G20">
        <v>267.5830765</v>
      </c>
      <c r="H20">
        <v>33.466039300000006</v>
      </c>
      <c r="I20">
        <v>167.21881500000001</v>
      </c>
      <c r="J20">
        <v>10.917786680000001</v>
      </c>
      <c r="K20">
        <v>142.89535900000001</v>
      </c>
      <c r="M20" s="22"/>
      <c r="N20">
        <v>2016</v>
      </c>
      <c r="O20">
        <v>31.365624924999999</v>
      </c>
      <c r="P20">
        <v>24.141016024999999</v>
      </c>
      <c r="Q20">
        <f t="shared" si="1"/>
        <v>27.753320474999999</v>
      </c>
      <c r="R20">
        <v>2016</v>
      </c>
      <c r="S20" s="2">
        <v>19.316581239999998</v>
      </c>
    </row>
    <row r="21" spans="1:19" x14ac:dyDescent="0.35">
      <c r="A21">
        <v>2017</v>
      </c>
      <c r="B21">
        <v>0.48319179574999999</v>
      </c>
      <c r="C21">
        <v>2.76</v>
      </c>
      <c r="D21">
        <v>1903.9725900000001</v>
      </c>
      <c r="E21">
        <v>1889.07143</v>
      </c>
      <c r="F21">
        <f t="shared" si="0"/>
        <v>1896.5220100000001</v>
      </c>
      <c r="G21">
        <v>268.91000350000002</v>
      </c>
      <c r="H21">
        <v>43.679525249999998</v>
      </c>
      <c r="I21">
        <v>170.48713675000002</v>
      </c>
      <c r="J21">
        <v>9.8747963100000007</v>
      </c>
      <c r="K21">
        <v>139.72027975</v>
      </c>
      <c r="M21" s="22"/>
      <c r="N21">
        <v>2017</v>
      </c>
      <c r="O21">
        <v>32.803124449999999</v>
      </c>
      <c r="P21">
        <v>24.004297274999999</v>
      </c>
      <c r="Q21">
        <f t="shared" si="1"/>
        <v>28.403710862499999</v>
      </c>
      <c r="R21">
        <v>2017</v>
      </c>
      <c r="S21">
        <v>38.568489100000001</v>
      </c>
    </row>
    <row r="22" spans="1:19" x14ac:dyDescent="0.35">
      <c r="A22">
        <v>2018</v>
      </c>
      <c r="B22">
        <v>0.39718398450000003</v>
      </c>
      <c r="C22">
        <v>2.74</v>
      </c>
      <c r="D22">
        <v>1915.73054</v>
      </c>
      <c r="E22">
        <v>1893.6116199999999</v>
      </c>
      <c r="F22">
        <f t="shared" si="0"/>
        <v>1904.6710800000001</v>
      </c>
      <c r="G22">
        <v>271.27735150000001</v>
      </c>
      <c r="H22">
        <v>38.516813024999998</v>
      </c>
      <c r="I22">
        <v>184.40616224999999</v>
      </c>
      <c r="J22">
        <v>8.7798206475000011</v>
      </c>
      <c r="K22">
        <v>140.51918025000001</v>
      </c>
      <c r="M22" s="22"/>
      <c r="N22">
        <v>2018</v>
      </c>
      <c r="O22">
        <v>32.127343674999999</v>
      </c>
      <c r="P22">
        <v>22.889062899999999</v>
      </c>
      <c r="Q22">
        <f t="shared" si="1"/>
        <v>27.508203287499999</v>
      </c>
      <c r="R22">
        <v>2018</v>
      </c>
      <c r="S22">
        <v>23.891687020000003</v>
      </c>
    </row>
    <row r="23" spans="1:19" x14ac:dyDescent="0.35">
      <c r="A23">
        <v>2019</v>
      </c>
      <c r="B23">
        <v>0.47920688975000003</v>
      </c>
      <c r="C23">
        <v>3.12</v>
      </c>
      <c r="D23">
        <v>1882.2029199999999</v>
      </c>
      <c r="E23">
        <v>1897.4533300000001</v>
      </c>
      <c r="F23">
        <f t="shared" si="0"/>
        <v>1889.828125</v>
      </c>
      <c r="G23">
        <v>268.10681899999997</v>
      </c>
      <c r="H23">
        <v>39.917227775000001</v>
      </c>
      <c r="I23">
        <v>163.93923925000001</v>
      </c>
      <c r="J23">
        <v>11.588313204999999</v>
      </c>
      <c r="K23">
        <v>149.79651849999999</v>
      </c>
      <c r="M23" s="22"/>
      <c r="N23">
        <v>2019</v>
      </c>
      <c r="O23">
        <v>31.627343674999999</v>
      </c>
      <c r="P23">
        <v>23.986719149999999</v>
      </c>
      <c r="Q23">
        <f t="shared" si="1"/>
        <v>27.807031412499999</v>
      </c>
      <c r="R23">
        <v>2019</v>
      </c>
      <c r="S23">
        <v>49.104253780000001</v>
      </c>
    </row>
    <row r="24" spans="1:19" x14ac:dyDescent="0.35">
      <c r="A24">
        <v>2020</v>
      </c>
      <c r="B24">
        <v>0.48149231100000001</v>
      </c>
      <c r="C24">
        <v>3.12</v>
      </c>
      <c r="D24">
        <v>1918.5245</v>
      </c>
      <c r="E24">
        <v>1893.72804</v>
      </c>
      <c r="F24">
        <f t="shared" si="0"/>
        <v>1906.12627</v>
      </c>
      <c r="G24">
        <v>264.09020224999995</v>
      </c>
      <c r="H24">
        <v>38.300537749999997</v>
      </c>
      <c r="I24">
        <v>171.69831475000001</v>
      </c>
      <c r="J24">
        <v>9.9575592200000003</v>
      </c>
      <c r="K24">
        <v>133.7135715</v>
      </c>
      <c r="M24" s="22"/>
      <c r="N24">
        <v>2020</v>
      </c>
      <c r="O24">
        <v>34.131248499999998</v>
      </c>
      <c r="P24">
        <v>24.953516024999999</v>
      </c>
      <c r="Q24">
        <f t="shared" si="1"/>
        <v>29.542382262499999</v>
      </c>
      <c r="R24">
        <v>2020</v>
      </c>
      <c r="S24">
        <v>28.35903545</v>
      </c>
    </row>
    <row r="25" spans="1:19" x14ac:dyDescent="0.35">
      <c r="M25" s="22"/>
    </row>
    <row r="27" spans="1:19" x14ac:dyDescent="0.35">
      <c r="C27" t="s">
        <v>60</v>
      </c>
    </row>
    <row r="28" spans="1:19" x14ac:dyDescent="0.35">
      <c r="C28" t="s">
        <v>61</v>
      </c>
    </row>
    <row r="29" spans="1:19" x14ac:dyDescent="0.35">
      <c r="C29" t="s">
        <v>62</v>
      </c>
    </row>
  </sheetData>
  <mergeCells count="5">
    <mergeCell ref="A1:K1"/>
    <mergeCell ref="M1:M25"/>
    <mergeCell ref="N1:P1"/>
    <mergeCell ref="N2:P2"/>
    <mergeCell ref="R2:S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7A1A-70F3-412F-BCEF-034841E28E2A}">
  <dimension ref="A1:Y25"/>
  <sheetViews>
    <sheetView topLeftCell="G8" workbookViewId="0">
      <selection activeCell="V3" sqref="V3"/>
    </sheetView>
  </sheetViews>
  <sheetFormatPr defaultRowHeight="14.5" x14ac:dyDescent="0.35"/>
  <sheetData>
    <row r="1" spans="1:25" ht="16" x14ac:dyDescent="0.4">
      <c r="A1" s="28" t="s">
        <v>44</v>
      </c>
      <c r="B1" s="28"/>
      <c r="C1" s="28"/>
      <c r="D1" s="8" t="s">
        <v>17</v>
      </c>
      <c r="E1" s="8" t="s">
        <v>17</v>
      </c>
      <c r="F1" s="8" t="s">
        <v>120</v>
      </c>
      <c r="G1" s="8" t="s">
        <v>19</v>
      </c>
      <c r="H1" s="8" t="s">
        <v>17</v>
      </c>
      <c r="I1" s="8" t="s">
        <v>17</v>
      </c>
      <c r="J1" s="8" t="s">
        <v>109</v>
      </c>
      <c r="K1" s="8" t="s">
        <v>45</v>
      </c>
      <c r="L1" s="8" t="s">
        <v>45</v>
      </c>
      <c r="M1" s="8" t="s">
        <v>45</v>
      </c>
      <c r="N1" s="8"/>
      <c r="O1" s="8" t="s">
        <v>46</v>
      </c>
      <c r="P1" s="8"/>
      <c r="Q1" s="8"/>
      <c r="R1" s="22" t="s">
        <v>13</v>
      </c>
      <c r="S1" s="23" t="s">
        <v>5</v>
      </c>
      <c r="T1" s="23"/>
      <c r="U1" s="23"/>
      <c r="V1" s="3" t="s">
        <v>11</v>
      </c>
      <c r="W1" s="3"/>
      <c r="X1" s="8"/>
      <c r="Y1" s="8"/>
    </row>
    <row r="2" spans="1:25" x14ac:dyDescent="0.35">
      <c r="A2" t="s">
        <v>47</v>
      </c>
      <c r="B2" t="s">
        <v>21</v>
      </c>
      <c r="C2" s="4" t="s">
        <v>14</v>
      </c>
      <c r="D2" s="4" t="s">
        <v>23</v>
      </c>
      <c r="E2" s="4" t="s">
        <v>24</v>
      </c>
      <c r="F2" s="19" t="s">
        <v>121</v>
      </c>
      <c r="G2" s="4" t="s">
        <v>48</v>
      </c>
      <c r="H2" s="4" t="s">
        <v>49</v>
      </c>
      <c r="I2" s="4" t="s">
        <v>50</v>
      </c>
      <c r="J2" s="19" t="s">
        <v>112</v>
      </c>
      <c r="K2" s="4" t="s">
        <v>32</v>
      </c>
      <c r="L2" s="4" t="s">
        <v>33</v>
      </c>
      <c r="M2" s="4" t="s">
        <v>34</v>
      </c>
      <c r="N2" s="4"/>
      <c r="O2" s="4" t="s">
        <v>51</v>
      </c>
      <c r="P2" s="4"/>
      <c r="Q2" s="4"/>
      <c r="R2" s="22"/>
      <c r="S2" s="24" t="s">
        <v>7</v>
      </c>
      <c r="T2" s="24"/>
      <c r="U2" s="24"/>
      <c r="V2" s="24" t="s">
        <v>12</v>
      </c>
      <c r="W2" s="24"/>
      <c r="X2" s="4"/>
      <c r="Y2" s="4"/>
    </row>
    <row r="3" spans="1:25" x14ac:dyDescent="0.35">
      <c r="A3">
        <v>2000</v>
      </c>
      <c r="B3">
        <v>0.47113110125000002</v>
      </c>
      <c r="C3" s="11">
        <v>2.4285706296209302</v>
      </c>
      <c r="G3">
        <v>159.728737030578</v>
      </c>
      <c r="O3">
        <v>79.231100225000006</v>
      </c>
      <c r="R3" s="22"/>
      <c r="S3" t="s">
        <v>2</v>
      </c>
      <c r="T3" t="s">
        <v>3</v>
      </c>
      <c r="U3" t="s">
        <v>4</v>
      </c>
      <c r="V3" t="s">
        <v>8</v>
      </c>
    </row>
    <row r="4" spans="1:25" x14ac:dyDescent="0.35">
      <c r="A4">
        <v>2001</v>
      </c>
      <c r="B4">
        <v>0.63052887450000006</v>
      </c>
      <c r="C4" s="11">
        <v>2.3858412368167699</v>
      </c>
      <c r="G4">
        <v>156.122877223388</v>
      </c>
      <c r="O4">
        <v>99.409104999999997</v>
      </c>
      <c r="R4" s="22"/>
      <c r="V4">
        <v>2000</v>
      </c>
      <c r="W4">
        <v>35.914047500000002</v>
      </c>
      <c r="Y4" t="s">
        <v>52</v>
      </c>
    </row>
    <row r="5" spans="1:25" x14ac:dyDescent="0.35">
      <c r="A5">
        <v>2002</v>
      </c>
      <c r="B5">
        <v>0.52187671525000001</v>
      </c>
      <c r="C5" s="11">
        <v>2.64004808334446</v>
      </c>
      <c r="D5">
        <v>1856.8314387878791</v>
      </c>
      <c r="E5">
        <v>1002.180059090909</v>
      </c>
      <c r="F5">
        <f>AVERAGE(D5:E5)</f>
        <v>1429.5057489393939</v>
      </c>
      <c r="G5">
        <v>158.459879334297</v>
      </c>
      <c r="H5">
        <v>151.4472791</v>
      </c>
      <c r="I5">
        <v>164.00916000000001</v>
      </c>
      <c r="J5">
        <f>AVERAGE(H5:I5)</f>
        <v>157.72821955000001</v>
      </c>
      <c r="O5">
        <v>80.706485000000001</v>
      </c>
      <c r="R5" s="22"/>
      <c r="V5">
        <v>2001</v>
      </c>
      <c r="W5" s="1">
        <v>51.229696249999996</v>
      </c>
      <c r="Y5" t="s">
        <v>53</v>
      </c>
    </row>
    <row r="6" spans="1:25" x14ac:dyDescent="0.35">
      <c r="A6">
        <v>2003</v>
      </c>
      <c r="B6">
        <v>0.52330538625000012</v>
      </c>
      <c r="C6" s="11">
        <v>2.1011956146408801</v>
      </c>
      <c r="D6">
        <v>1858.0290282608698</v>
      </c>
      <c r="E6">
        <v>1039.2867214049584</v>
      </c>
      <c r="F6">
        <f t="shared" ref="F6:F23" si="0">AVERAGE(D6:E6)</f>
        <v>1448.6578748329141</v>
      </c>
      <c r="G6">
        <v>161.58743955245899</v>
      </c>
      <c r="H6">
        <v>152.1119358</v>
      </c>
      <c r="I6">
        <v>153.62036509999999</v>
      </c>
      <c r="J6">
        <f t="shared" ref="J6:J23" si="1">AVERAGE(H6:I6)</f>
        <v>152.86615044999999</v>
      </c>
      <c r="O6">
        <v>76.381757500000006</v>
      </c>
      <c r="R6" s="22"/>
      <c r="V6">
        <v>2002</v>
      </c>
      <c r="W6">
        <v>23.194551449999999</v>
      </c>
      <c r="Y6" t="s">
        <v>54</v>
      </c>
    </row>
    <row r="7" spans="1:25" x14ac:dyDescent="0.35">
      <c r="A7">
        <v>2004</v>
      </c>
      <c r="B7">
        <v>0.58153689650000007</v>
      </c>
      <c r="C7" s="11">
        <v>2.3649931220556302</v>
      </c>
      <c r="D7">
        <v>1843.7659097142857</v>
      </c>
      <c r="E7">
        <v>1046.7296052066117</v>
      </c>
      <c r="F7">
        <f t="shared" si="0"/>
        <v>1445.2477574604486</v>
      </c>
      <c r="G7">
        <v>152.74339209590201</v>
      </c>
      <c r="H7">
        <v>152.35733980000001</v>
      </c>
      <c r="I7">
        <v>159.73845230000001</v>
      </c>
      <c r="J7">
        <f t="shared" si="1"/>
        <v>156.04789605000002</v>
      </c>
      <c r="K7">
        <v>266.71538409999999</v>
      </c>
      <c r="L7">
        <v>266.77500020000002</v>
      </c>
      <c r="M7">
        <v>0.10305555399999999</v>
      </c>
      <c r="O7">
        <v>73.975650000000002</v>
      </c>
      <c r="R7" s="22"/>
      <c r="S7">
        <v>2003</v>
      </c>
      <c r="T7">
        <v>25.217187899999999</v>
      </c>
      <c r="U7">
        <v>10.344140900000001</v>
      </c>
      <c r="V7">
        <v>2003</v>
      </c>
      <c r="W7">
        <v>38.915613960000002</v>
      </c>
    </row>
    <row r="8" spans="1:25" x14ac:dyDescent="0.35">
      <c r="A8">
        <v>2005</v>
      </c>
      <c r="B8">
        <v>0.53278068425000003</v>
      </c>
      <c r="C8" s="11">
        <v>2.3969144612245601</v>
      </c>
      <c r="D8">
        <v>1869.6926195522383</v>
      </c>
      <c r="E8">
        <v>1035.3305246280993</v>
      </c>
      <c r="F8">
        <f t="shared" si="0"/>
        <v>1452.5115720901688</v>
      </c>
      <c r="G8">
        <v>154.559942668595</v>
      </c>
      <c r="H8">
        <v>152.264914</v>
      </c>
      <c r="I8">
        <v>152.8335022</v>
      </c>
      <c r="J8">
        <f t="shared" si="1"/>
        <v>152.54920809999999</v>
      </c>
      <c r="K8">
        <v>252.0799997</v>
      </c>
      <c r="L8">
        <v>252.1660875</v>
      </c>
      <c r="M8">
        <v>-0.13152941600000001</v>
      </c>
      <c r="O8">
        <v>94.787395000000004</v>
      </c>
      <c r="R8" s="22"/>
      <c r="S8">
        <v>2004</v>
      </c>
      <c r="T8">
        <v>26.312891024999999</v>
      </c>
      <c r="U8">
        <v>12.211328525000001</v>
      </c>
      <c r="V8">
        <v>2004</v>
      </c>
      <c r="W8">
        <v>28.828168108</v>
      </c>
    </row>
    <row r="9" spans="1:25" x14ac:dyDescent="0.35">
      <c r="A9">
        <v>2006</v>
      </c>
      <c r="B9">
        <v>0.59501916175000003</v>
      </c>
      <c r="C9" s="11">
        <v>2.1919994450728901</v>
      </c>
      <c r="D9">
        <v>1866.9292329999996</v>
      </c>
      <c r="E9">
        <v>1049.3542414049587</v>
      </c>
      <c r="F9">
        <f t="shared" si="0"/>
        <v>1458.1417372024791</v>
      </c>
      <c r="G9">
        <v>156.133954003306</v>
      </c>
      <c r="H9">
        <v>153.08014750000001</v>
      </c>
      <c r="I9">
        <v>148.8235565</v>
      </c>
      <c r="J9">
        <f t="shared" si="1"/>
        <v>150.951852</v>
      </c>
      <c r="K9">
        <v>263.29316160000002</v>
      </c>
      <c r="L9">
        <v>263.30769140000001</v>
      </c>
      <c r="M9">
        <v>-4.3749990000000001E-3</v>
      </c>
      <c r="O9">
        <v>77.172807500000005</v>
      </c>
      <c r="R9" s="22"/>
      <c r="S9">
        <v>2005</v>
      </c>
      <c r="T9">
        <v>27.324609774999999</v>
      </c>
      <c r="U9">
        <v>12.060937895</v>
      </c>
      <c r="V9">
        <v>2005</v>
      </c>
      <c r="W9">
        <v>29.214432700000003</v>
      </c>
    </row>
    <row r="10" spans="1:25" x14ac:dyDescent="0.35">
      <c r="A10">
        <v>2007</v>
      </c>
      <c r="B10">
        <v>0.60849329799999996</v>
      </c>
      <c r="C10" s="11">
        <v>2.5250021703272898</v>
      </c>
      <c r="D10">
        <v>1866.7596494029854</v>
      </c>
      <c r="E10">
        <v>1036.0078498347107</v>
      </c>
      <c r="F10">
        <f t="shared" si="0"/>
        <v>1451.383749618848</v>
      </c>
      <c r="G10">
        <v>155.72858866893401</v>
      </c>
      <c r="H10">
        <v>152.65686669999999</v>
      </c>
      <c r="I10">
        <v>147.86443589999999</v>
      </c>
      <c r="J10">
        <f t="shared" si="1"/>
        <v>150.26065130000001</v>
      </c>
      <c r="K10">
        <v>256.76228079999998</v>
      </c>
      <c r="L10">
        <v>256.43445380000003</v>
      </c>
      <c r="M10">
        <v>3.0975609000000001E-2</v>
      </c>
      <c r="O10">
        <v>81.743664999999993</v>
      </c>
      <c r="R10" s="22"/>
      <c r="S10">
        <v>2006</v>
      </c>
      <c r="T10">
        <v>26.273828524999999</v>
      </c>
      <c r="U10">
        <v>11.725000395</v>
      </c>
      <c r="V10">
        <v>2006</v>
      </c>
      <c r="W10" s="1">
        <v>49.386696799999996</v>
      </c>
    </row>
    <row r="11" spans="1:25" x14ac:dyDescent="0.35">
      <c r="A11">
        <v>2008</v>
      </c>
      <c r="B11">
        <v>0.63247312599999994</v>
      </c>
      <c r="C11" s="11">
        <v>2.7486002389639901</v>
      </c>
      <c r="D11">
        <v>1869.3122360317468</v>
      </c>
      <c r="E11">
        <v>936.77966314049615</v>
      </c>
      <c r="F11">
        <f t="shared" si="0"/>
        <v>1403.0459495861214</v>
      </c>
      <c r="G11">
        <v>157.87334083801699</v>
      </c>
      <c r="H11">
        <v>151.9057219</v>
      </c>
      <c r="I11">
        <v>137.94884909999999</v>
      </c>
      <c r="J11">
        <f t="shared" si="1"/>
        <v>144.92728549999998</v>
      </c>
      <c r="K11">
        <v>258.98659739999999</v>
      </c>
      <c r="L11">
        <v>259.0092583</v>
      </c>
      <c r="M11">
        <v>-1.0697676E-2</v>
      </c>
      <c r="O11">
        <v>85.499385000000004</v>
      </c>
      <c r="R11" s="22"/>
      <c r="S11">
        <v>2007</v>
      </c>
      <c r="T11">
        <v>26.035547274999999</v>
      </c>
      <c r="U11">
        <v>11.629297269999999</v>
      </c>
      <c r="V11">
        <v>2007</v>
      </c>
      <c r="W11" s="1">
        <v>51.132165899999997</v>
      </c>
    </row>
    <row r="12" spans="1:25" x14ac:dyDescent="0.35">
      <c r="A12">
        <v>2009</v>
      </c>
      <c r="B12" t="e">
        <v>#DIV/0!</v>
      </c>
      <c r="C12" s="11">
        <v>2.7208088680307099</v>
      </c>
      <c r="D12">
        <v>1871.7650811320759</v>
      </c>
      <c r="E12">
        <v>1009.252099809524</v>
      </c>
      <c r="F12">
        <f t="shared" si="0"/>
        <v>1440.5085904707998</v>
      </c>
      <c r="G12">
        <v>158.40736198429801</v>
      </c>
      <c r="H12">
        <v>151.4796168</v>
      </c>
      <c r="I12">
        <v>128.03562539999999</v>
      </c>
      <c r="J12">
        <f t="shared" si="1"/>
        <v>139.75762109999999</v>
      </c>
      <c r="K12">
        <v>272.72083240000001</v>
      </c>
      <c r="L12">
        <v>271.9987524</v>
      </c>
      <c r="M12">
        <v>4.6000006000000003E-2</v>
      </c>
      <c r="O12">
        <v>79.242750000000001</v>
      </c>
      <c r="R12" s="22"/>
      <c r="S12">
        <v>2008</v>
      </c>
      <c r="T12">
        <v>26.381250399999999</v>
      </c>
      <c r="U12">
        <v>12.492578525000001</v>
      </c>
      <c r="V12">
        <v>2008</v>
      </c>
      <c r="W12">
        <v>26.343498224999998</v>
      </c>
    </row>
    <row r="13" spans="1:25" x14ac:dyDescent="0.35">
      <c r="A13">
        <v>2010</v>
      </c>
      <c r="B13">
        <v>0.60928611475000005</v>
      </c>
      <c r="C13" s="11">
        <v>2.6495235477852801</v>
      </c>
      <c r="D13">
        <v>1874.0891277272729</v>
      </c>
      <c r="E13">
        <v>937.80334826446244</v>
      </c>
      <c r="F13">
        <f t="shared" si="0"/>
        <v>1405.9462379958677</v>
      </c>
      <c r="G13">
        <v>156.646583333884</v>
      </c>
      <c r="H13">
        <v>152.0984182</v>
      </c>
      <c r="I13">
        <v>129.87209290000001</v>
      </c>
      <c r="J13">
        <f t="shared" si="1"/>
        <v>140.98525555000001</v>
      </c>
      <c r="K13">
        <v>264.63424700000002</v>
      </c>
      <c r="L13">
        <v>264.4602567</v>
      </c>
      <c r="M13">
        <v>-9.6086959E-2</v>
      </c>
      <c r="O13">
        <v>90.8185675</v>
      </c>
      <c r="R13" s="22"/>
      <c r="S13">
        <v>2009</v>
      </c>
      <c r="T13">
        <v>25.396875399999999</v>
      </c>
      <c r="U13">
        <v>10.844140900000001</v>
      </c>
      <c r="V13">
        <v>2009</v>
      </c>
      <c r="W13" s="1">
        <v>47.11196648</v>
      </c>
    </row>
    <row r="14" spans="1:25" x14ac:dyDescent="0.35">
      <c r="A14">
        <v>2011</v>
      </c>
      <c r="B14">
        <v>0.69878298049999998</v>
      </c>
      <c r="C14" s="11">
        <v>2.9267456391838098</v>
      </c>
      <c r="D14">
        <v>1875.6406813846156</v>
      </c>
      <c r="E14">
        <v>942.89868338842973</v>
      </c>
      <c r="F14">
        <f t="shared" si="0"/>
        <v>1409.2696823865226</v>
      </c>
      <c r="G14">
        <v>159.140824869672</v>
      </c>
      <c r="H14">
        <v>151.05975409999999</v>
      </c>
      <c r="I14">
        <v>129.56766619999999</v>
      </c>
      <c r="J14">
        <f t="shared" si="1"/>
        <v>140.31371014999999</v>
      </c>
      <c r="K14">
        <v>264.37441840000002</v>
      </c>
      <c r="L14">
        <v>264.0148504</v>
      </c>
      <c r="M14">
        <v>0.109117651</v>
      </c>
      <c r="O14">
        <v>83.757337500000006</v>
      </c>
      <c r="R14" s="22"/>
      <c r="S14">
        <v>2010</v>
      </c>
      <c r="T14">
        <v>25.617578524999999</v>
      </c>
      <c r="U14">
        <v>11.646875269999999</v>
      </c>
      <c r="V14">
        <v>2010</v>
      </c>
      <c r="W14" s="2">
        <v>15.806660033333335</v>
      </c>
    </row>
    <row r="15" spans="1:25" x14ac:dyDescent="0.35">
      <c r="A15">
        <v>2012</v>
      </c>
      <c r="B15">
        <v>0.66861657799999996</v>
      </c>
      <c r="C15" s="11">
        <v>3.06100064550948</v>
      </c>
      <c r="D15">
        <v>1878.5764092424242</v>
      </c>
      <c r="E15">
        <v>1048.0250541666671</v>
      </c>
      <c r="F15">
        <f t="shared" si="0"/>
        <v>1463.3007317045458</v>
      </c>
      <c r="G15">
        <v>154.894081228099</v>
      </c>
      <c r="H15">
        <v>151.13037080000001</v>
      </c>
      <c r="I15">
        <v>125.46297509999999</v>
      </c>
      <c r="J15">
        <f t="shared" si="1"/>
        <v>138.29667295000002</v>
      </c>
      <c r="K15">
        <v>255.41625020000001</v>
      </c>
      <c r="L15">
        <v>255.12929299999999</v>
      </c>
      <c r="M15">
        <v>-2.6428574E-2</v>
      </c>
      <c r="O15">
        <v>108.7332675</v>
      </c>
      <c r="R15" s="22"/>
      <c r="S15">
        <v>2011</v>
      </c>
      <c r="T15">
        <v>24.754297274999999</v>
      </c>
      <c r="U15">
        <v>11.574609765</v>
      </c>
      <c r="V15">
        <v>2011</v>
      </c>
      <c r="W15">
        <v>27.9676395575</v>
      </c>
    </row>
    <row r="16" spans="1:25" x14ac:dyDescent="0.35">
      <c r="A16">
        <v>2013</v>
      </c>
      <c r="B16">
        <v>0.67177476000000003</v>
      </c>
      <c r="C16" s="11">
        <v>3.11400249134075</v>
      </c>
      <c r="D16">
        <v>1877.8042150769238</v>
      </c>
      <c r="E16">
        <v>870.84818247933879</v>
      </c>
      <c r="F16">
        <f t="shared" si="0"/>
        <v>1374.3261987781314</v>
      </c>
      <c r="G16">
        <v>150.61828048264499</v>
      </c>
      <c r="H16">
        <v>149.49708860000001</v>
      </c>
      <c r="I16">
        <v>121.57872089999999</v>
      </c>
      <c r="J16">
        <f t="shared" si="1"/>
        <v>135.53790475</v>
      </c>
      <c r="K16">
        <v>272.17438879999997</v>
      </c>
      <c r="L16">
        <v>271.0478731</v>
      </c>
      <c r="M16">
        <v>-3.3684209E-2</v>
      </c>
      <c r="O16">
        <v>88.365947500000004</v>
      </c>
      <c r="R16" s="22"/>
      <c r="S16">
        <v>2012</v>
      </c>
      <c r="T16">
        <v>24.566797274999999</v>
      </c>
      <c r="U16">
        <v>10.353906520000001</v>
      </c>
      <c r="V16">
        <v>2012</v>
      </c>
      <c r="W16">
        <v>25.555826175</v>
      </c>
    </row>
    <row r="17" spans="1:23" x14ac:dyDescent="0.35">
      <c r="A17">
        <v>2014</v>
      </c>
      <c r="B17">
        <v>0.58499686424999997</v>
      </c>
      <c r="C17" s="11">
        <v>3.24701239129408</v>
      </c>
      <c r="D17">
        <v>1875.7401089393938</v>
      </c>
      <c r="E17">
        <v>1013.9485898347108</v>
      </c>
      <c r="F17">
        <f t="shared" si="0"/>
        <v>1444.8443493870523</v>
      </c>
      <c r="G17">
        <v>151.86987105950399</v>
      </c>
      <c r="H17">
        <v>151.3146107</v>
      </c>
      <c r="I17">
        <v>128.74846120000001</v>
      </c>
      <c r="J17">
        <f t="shared" si="1"/>
        <v>140.03153595000001</v>
      </c>
      <c r="K17">
        <v>272.8128577</v>
      </c>
      <c r="L17">
        <v>273.82022419999998</v>
      </c>
      <c r="M17">
        <v>-9.3043480999999997E-2</v>
      </c>
      <c r="O17">
        <v>92.282687499999994</v>
      </c>
      <c r="R17" s="22"/>
      <c r="S17">
        <v>2013</v>
      </c>
      <c r="T17">
        <v>23.855859774999999</v>
      </c>
      <c r="U17">
        <v>11.463281645</v>
      </c>
      <c r="V17">
        <v>2013</v>
      </c>
      <c r="W17">
        <v>41.565922520000001</v>
      </c>
    </row>
    <row r="18" spans="1:23" x14ac:dyDescent="0.35">
      <c r="A18">
        <v>2015</v>
      </c>
      <c r="B18">
        <v>0.70308031125000003</v>
      </c>
      <c r="C18" s="11">
        <v>1.74199855976704</v>
      </c>
      <c r="D18">
        <v>1885.7392494202898</v>
      </c>
      <c r="E18">
        <v>1034.2718881967212</v>
      </c>
      <c r="F18">
        <f t="shared" si="0"/>
        <v>1460.0055688085054</v>
      </c>
      <c r="G18">
        <v>145.70527327541001</v>
      </c>
      <c r="H18">
        <v>153.2075174</v>
      </c>
      <c r="I18">
        <v>136.36194710000001</v>
      </c>
      <c r="J18">
        <f t="shared" si="1"/>
        <v>144.78473224999999</v>
      </c>
      <c r="K18">
        <v>268.78955150000002</v>
      </c>
      <c r="L18">
        <v>268.03023230000002</v>
      </c>
      <c r="M18">
        <v>-9.1562497000000007E-2</v>
      </c>
      <c r="O18">
        <v>86.474905000000007</v>
      </c>
      <c r="R18" s="22"/>
      <c r="S18">
        <v>2014</v>
      </c>
      <c r="T18">
        <v>24.133203524999999</v>
      </c>
      <c r="U18">
        <v>11.119531640000002</v>
      </c>
      <c r="V18">
        <v>2014</v>
      </c>
      <c r="W18">
        <v>38.498858133333336</v>
      </c>
    </row>
    <row r="19" spans="1:23" x14ac:dyDescent="0.35">
      <c r="A19">
        <v>2016</v>
      </c>
      <c r="B19">
        <v>0.63805558524999995</v>
      </c>
      <c r="C19" s="11">
        <v>2.2280011746691</v>
      </c>
      <c r="D19">
        <v>1889.9590945312502</v>
      </c>
      <c r="E19">
        <v>970.70751363636339</v>
      </c>
      <c r="F19">
        <f t="shared" si="0"/>
        <v>1430.3333040838068</v>
      </c>
      <c r="G19">
        <v>151.98344806859501</v>
      </c>
      <c r="H19">
        <v>151.51324790000001</v>
      </c>
      <c r="I19">
        <v>127.70760799999999</v>
      </c>
      <c r="J19">
        <f t="shared" si="1"/>
        <v>139.61042795</v>
      </c>
      <c r="K19">
        <v>257.30769299999997</v>
      </c>
      <c r="L19">
        <v>256.58000090000002</v>
      </c>
      <c r="M19">
        <v>-0.105666669</v>
      </c>
      <c r="O19">
        <v>107.1212625</v>
      </c>
      <c r="R19" s="22"/>
      <c r="S19">
        <v>2015</v>
      </c>
      <c r="T19">
        <v>27.004297274999999</v>
      </c>
      <c r="U19">
        <v>12.273828519999999</v>
      </c>
      <c r="V19">
        <v>2015</v>
      </c>
      <c r="W19">
        <v>20.012087833333332</v>
      </c>
    </row>
    <row r="20" spans="1:23" x14ac:dyDescent="0.35">
      <c r="A20">
        <v>2017</v>
      </c>
      <c r="B20">
        <v>0.67135126875000006</v>
      </c>
      <c r="C20" s="11">
        <v>3.6450173473226601</v>
      </c>
      <c r="D20">
        <v>1894.1046777941174</v>
      </c>
      <c r="E20">
        <v>1069.4892813223141</v>
      </c>
      <c r="F20">
        <f t="shared" si="0"/>
        <v>1481.7969795582158</v>
      </c>
      <c r="G20">
        <v>148.789957839669</v>
      </c>
      <c r="H20">
        <v>153.89737919999999</v>
      </c>
      <c r="I20">
        <v>126.85560769999999</v>
      </c>
      <c r="J20">
        <f t="shared" si="1"/>
        <v>140.37649345</v>
      </c>
      <c r="K20">
        <v>274.17500009999998</v>
      </c>
      <c r="L20">
        <v>273.96309339999999</v>
      </c>
      <c r="M20">
        <v>0.18593749500000001</v>
      </c>
      <c r="O20">
        <v>107.45677499999999</v>
      </c>
      <c r="R20" s="22"/>
      <c r="S20">
        <v>2016</v>
      </c>
      <c r="T20">
        <v>25.619531649999999</v>
      </c>
      <c r="U20">
        <v>11.846094145</v>
      </c>
      <c r="V20">
        <v>2016</v>
      </c>
      <c r="W20" s="2">
        <v>16.251443900000002</v>
      </c>
    </row>
    <row r="21" spans="1:23" x14ac:dyDescent="0.35">
      <c r="A21">
        <v>2018</v>
      </c>
      <c r="B21">
        <v>0.71494735774999985</v>
      </c>
      <c r="C21" s="11">
        <v>4.2359981897910499</v>
      </c>
      <c r="D21">
        <v>1897.0508657142857</v>
      </c>
      <c r="E21">
        <v>1045.1132599173554</v>
      </c>
      <c r="F21">
        <f t="shared" si="0"/>
        <v>1471.0820628158206</v>
      </c>
      <c r="G21">
        <v>147.89229902809899</v>
      </c>
      <c r="H21">
        <v>148.71118530000001</v>
      </c>
      <c r="I21">
        <v>114.4691869</v>
      </c>
      <c r="J21">
        <f t="shared" si="1"/>
        <v>131.59018610000001</v>
      </c>
      <c r="K21">
        <v>248.9791673</v>
      </c>
      <c r="L21">
        <v>248.9035724</v>
      </c>
      <c r="M21">
        <v>-0.102999998</v>
      </c>
      <c r="O21">
        <v>93.742014999999995</v>
      </c>
      <c r="R21" s="22"/>
      <c r="S21">
        <v>2017</v>
      </c>
      <c r="T21">
        <v>25.695703524999999</v>
      </c>
      <c r="U21">
        <v>11.289453399999999</v>
      </c>
      <c r="V21">
        <v>2017</v>
      </c>
      <c r="W21">
        <v>23.287647025000002</v>
      </c>
    </row>
    <row r="22" spans="1:23" x14ac:dyDescent="0.35">
      <c r="A22">
        <v>2019</v>
      </c>
      <c r="B22">
        <v>0.71220435174999996</v>
      </c>
      <c r="C22" s="11">
        <v>4.0175371984504302</v>
      </c>
      <c r="D22">
        <v>1886.2209148571428</v>
      </c>
      <c r="E22">
        <v>1110.0143682786886</v>
      </c>
      <c r="F22">
        <f t="shared" si="0"/>
        <v>1498.1176415679156</v>
      </c>
      <c r="G22">
        <v>146.80208197786899</v>
      </c>
      <c r="H22">
        <v>149.70525319999999</v>
      </c>
      <c r="I22">
        <v>122.51444739999999</v>
      </c>
      <c r="J22">
        <f t="shared" si="1"/>
        <v>136.10985030000001</v>
      </c>
      <c r="K22">
        <v>278.5295759</v>
      </c>
      <c r="L22">
        <v>278.65454469999997</v>
      </c>
      <c r="M22">
        <v>-8.4482759000000004E-2</v>
      </c>
      <c r="O22">
        <v>83.686689999999999</v>
      </c>
      <c r="R22" s="22"/>
      <c r="S22">
        <v>2018</v>
      </c>
      <c r="T22">
        <v>26.832422274999999</v>
      </c>
      <c r="U22">
        <v>11.404687890000002</v>
      </c>
      <c r="V22">
        <v>2018</v>
      </c>
      <c r="W22">
        <v>29.124385200000003</v>
      </c>
    </row>
    <row r="23" spans="1:23" x14ac:dyDescent="0.35">
      <c r="A23">
        <v>2020</v>
      </c>
      <c r="B23">
        <v>0.66896070550000009</v>
      </c>
      <c r="C23" s="11">
        <v>3.6959816013736</v>
      </c>
      <c r="D23">
        <v>1906.8228845161286</v>
      </c>
      <c r="E23">
        <v>963.68026148760327</v>
      </c>
      <c r="F23">
        <f t="shared" si="0"/>
        <v>1435.2515730018658</v>
      </c>
      <c r="G23">
        <v>150.231494931405</v>
      </c>
      <c r="H23">
        <v>152.5622793</v>
      </c>
      <c r="I23">
        <v>118.5672414</v>
      </c>
      <c r="J23">
        <f t="shared" si="1"/>
        <v>135.56476035</v>
      </c>
      <c r="K23">
        <v>270.52567720000002</v>
      </c>
      <c r="L23">
        <v>270.50864289999998</v>
      </c>
      <c r="M23">
        <v>-1.0303023999999999E-2</v>
      </c>
      <c r="O23">
        <v>92.900724999999994</v>
      </c>
      <c r="R23" s="22"/>
      <c r="S23">
        <v>2019</v>
      </c>
      <c r="T23">
        <v>24.594141024999999</v>
      </c>
      <c r="U23">
        <v>11.840234765</v>
      </c>
      <c r="V23">
        <v>2019</v>
      </c>
      <c r="W23">
        <v>36.984582424999999</v>
      </c>
    </row>
    <row r="24" spans="1:23" x14ac:dyDescent="0.35">
      <c r="R24" s="22"/>
      <c r="S24">
        <v>2020</v>
      </c>
      <c r="T24">
        <v>25.881250399999999</v>
      </c>
      <c r="U24">
        <v>11.56679727</v>
      </c>
      <c r="V24">
        <v>2020</v>
      </c>
      <c r="W24">
        <v>29.956616220000001</v>
      </c>
    </row>
    <row r="25" spans="1:23" x14ac:dyDescent="0.35">
      <c r="R25" s="22"/>
    </row>
  </sheetData>
  <mergeCells count="5">
    <mergeCell ref="R1:R25"/>
    <mergeCell ref="S1:U1"/>
    <mergeCell ref="S2:U2"/>
    <mergeCell ref="V2:W2"/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A339-A993-4FB2-A24E-6F217303EE3B}">
  <dimension ref="A1:Z25"/>
  <sheetViews>
    <sheetView topLeftCell="A8" workbookViewId="0">
      <selection activeCell="Y3" sqref="Y3"/>
    </sheetView>
  </sheetViews>
  <sheetFormatPr defaultRowHeight="14.5" x14ac:dyDescent="0.35"/>
  <sheetData>
    <row r="1" spans="1:26" ht="16" x14ac:dyDescent="0.4">
      <c r="A1" s="21" t="s">
        <v>106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T1" s="22" t="s">
        <v>13</v>
      </c>
      <c r="U1" s="23" t="s">
        <v>5</v>
      </c>
      <c r="V1" s="23"/>
      <c r="W1" s="23"/>
      <c r="X1" s="14"/>
      <c r="Y1" s="3" t="s">
        <v>11</v>
      </c>
      <c r="Z1" s="3"/>
    </row>
    <row r="2" spans="1:26" ht="21" x14ac:dyDescent="0.5">
      <c r="A2" s="8"/>
      <c r="B2" s="8" t="s">
        <v>41</v>
      </c>
      <c r="C2" s="8"/>
      <c r="D2" s="8" t="s">
        <v>17</v>
      </c>
      <c r="E2" s="8" t="s">
        <v>17</v>
      </c>
      <c r="F2" s="8" t="s">
        <v>120</v>
      </c>
      <c r="G2" s="8" t="s">
        <v>42</v>
      </c>
      <c r="H2" s="8" t="s">
        <v>18</v>
      </c>
      <c r="I2" s="8" t="s">
        <v>19</v>
      </c>
      <c r="J2" s="8" t="s">
        <v>18</v>
      </c>
      <c r="K2" s="9" t="s">
        <v>17</v>
      </c>
      <c r="L2" s="10"/>
      <c r="T2" s="22"/>
      <c r="U2" s="24" t="s">
        <v>6</v>
      </c>
      <c r="V2" s="24"/>
      <c r="W2" s="24"/>
      <c r="X2" s="15" t="s">
        <v>113</v>
      </c>
      <c r="Y2" s="24" t="s">
        <v>12</v>
      </c>
      <c r="Z2" s="24"/>
    </row>
    <row r="3" spans="1:26" x14ac:dyDescent="0.35">
      <c r="A3" t="s">
        <v>0</v>
      </c>
      <c r="B3" t="s">
        <v>43</v>
      </c>
      <c r="C3" t="s">
        <v>14</v>
      </c>
      <c r="D3" t="s">
        <v>23</v>
      </c>
      <c r="E3" t="s">
        <v>24</v>
      </c>
      <c r="F3" t="s">
        <v>121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31</v>
      </c>
      <c r="T3" s="22"/>
      <c r="U3" t="s">
        <v>2</v>
      </c>
      <c r="V3" t="s">
        <v>3</v>
      </c>
      <c r="W3" t="s">
        <v>4</v>
      </c>
      <c r="X3" t="s">
        <v>114</v>
      </c>
      <c r="Y3" t="s">
        <v>8</v>
      </c>
    </row>
    <row r="4" spans="1:26" x14ac:dyDescent="0.35">
      <c r="A4">
        <v>2000</v>
      </c>
      <c r="B4">
        <v>0.43258221450000001</v>
      </c>
      <c r="C4" s="11">
        <v>1.1029615278162193</v>
      </c>
      <c r="G4">
        <v>272.04643249999998</v>
      </c>
      <c r="H4">
        <v>35.764583599999995</v>
      </c>
      <c r="I4">
        <v>191.88335775000002</v>
      </c>
      <c r="J4">
        <v>6.0146038174999994</v>
      </c>
      <c r="K4">
        <v>131.96846775</v>
      </c>
      <c r="M4" s="7">
        <v>159.728737030578</v>
      </c>
      <c r="N4" s="7"/>
      <c r="O4" s="7"/>
      <c r="P4" s="7"/>
      <c r="Q4" s="7"/>
      <c r="R4" s="7"/>
      <c r="T4" s="22"/>
      <c r="U4">
        <v>2000</v>
      </c>
      <c r="Y4">
        <v>2000</v>
      </c>
      <c r="Z4">
        <v>35.914047500000002</v>
      </c>
    </row>
    <row r="5" spans="1:26" x14ac:dyDescent="0.35">
      <c r="A5">
        <v>2001</v>
      </c>
      <c r="B5">
        <v>0.35327353700000003</v>
      </c>
      <c r="C5" s="11">
        <v>1.4580269607843137</v>
      </c>
      <c r="G5">
        <v>275.98556550000001</v>
      </c>
      <c r="H5">
        <v>31.044219325000004</v>
      </c>
      <c r="I5">
        <v>196.13404850000001</v>
      </c>
      <c r="J5">
        <v>5.6090846399999998</v>
      </c>
      <c r="K5">
        <v>132.79784025000001</v>
      </c>
      <c r="M5" s="7">
        <v>156.122877223388</v>
      </c>
      <c r="N5" s="7"/>
      <c r="O5" s="7"/>
      <c r="P5" s="7"/>
      <c r="Q5" s="7"/>
      <c r="R5" s="7"/>
      <c r="T5" s="22"/>
      <c r="U5">
        <v>2001</v>
      </c>
      <c r="Y5">
        <v>2001</v>
      </c>
      <c r="Z5" s="1">
        <v>51.229696249999996</v>
      </c>
    </row>
    <row r="6" spans="1:26" x14ac:dyDescent="0.35">
      <c r="A6">
        <v>2002</v>
      </c>
      <c r="B6">
        <v>0.55871184150000008</v>
      </c>
      <c r="C6" s="11">
        <v>1.8204152249134948</v>
      </c>
      <c r="D6">
        <v>1843.7858649999998</v>
      </c>
      <c r="E6">
        <v>1816.6028900000001</v>
      </c>
      <c r="F6">
        <f>AVERAGE(D6:E6)</f>
        <v>1830.1943775</v>
      </c>
      <c r="G6">
        <v>272.44406125</v>
      </c>
      <c r="H6">
        <v>44.678490650000001</v>
      </c>
      <c r="I6">
        <v>205.91654975</v>
      </c>
      <c r="J6">
        <v>5.2916964150000005</v>
      </c>
      <c r="K6">
        <v>130.62089324999999</v>
      </c>
      <c r="M6" s="7">
        <v>158.459879334297</v>
      </c>
      <c r="N6" s="7">
        <v>164.00916000000001</v>
      </c>
      <c r="O6" s="7"/>
      <c r="P6" s="7"/>
      <c r="Q6" s="7"/>
      <c r="R6" s="7">
        <v>164.00916000000001</v>
      </c>
      <c r="T6" s="22"/>
      <c r="U6">
        <v>2002</v>
      </c>
      <c r="Y6">
        <v>2002</v>
      </c>
      <c r="Z6">
        <v>23.194551449999999</v>
      </c>
    </row>
    <row r="7" spans="1:26" x14ac:dyDescent="0.35">
      <c r="A7">
        <v>2003</v>
      </c>
      <c r="B7">
        <v>0.47769349825000001</v>
      </c>
      <c r="C7" s="11">
        <v>1.3367003367003367</v>
      </c>
      <c r="D7">
        <v>1848.5588950000001</v>
      </c>
      <c r="E7">
        <v>1802.1091799999999</v>
      </c>
      <c r="F7">
        <f t="shared" ref="F7:F23" si="0">AVERAGE(D7:E7)</f>
        <v>1825.3340375</v>
      </c>
      <c r="G7">
        <v>276.67998499999999</v>
      </c>
      <c r="H7">
        <v>36.253812375000003</v>
      </c>
      <c r="I7">
        <v>191.00500875</v>
      </c>
      <c r="J7">
        <v>5.7620868075000011</v>
      </c>
      <c r="K7">
        <v>133.58062925000002</v>
      </c>
      <c r="M7" s="7">
        <v>161.58743955245899</v>
      </c>
      <c r="N7" s="7">
        <v>153.62036509999999</v>
      </c>
      <c r="O7" s="7"/>
      <c r="P7" s="7"/>
      <c r="Q7" s="7"/>
      <c r="R7" s="7">
        <v>153.62036509999999</v>
      </c>
      <c r="T7" s="22"/>
      <c r="U7">
        <v>2003</v>
      </c>
      <c r="V7">
        <v>33.316795849999998</v>
      </c>
      <c r="W7">
        <v>25.826562899999999</v>
      </c>
      <c r="X7">
        <f>AVERAGE(V7:W7)</f>
        <v>29.571679374999999</v>
      </c>
      <c r="Y7">
        <v>2003</v>
      </c>
      <c r="Z7">
        <v>38.915613960000002</v>
      </c>
    </row>
    <row r="8" spans="1:26" x14ac:dyDescent="0.35">
      <c r="A8">
        <v>2004</v>
      </c>
      <c r="B8">
        <v>0.50347871325000004</v>
      </c>
      <c r="C8" s="11">
        <v>0.90386266094420598</v>
      </c>
      <c r="D8">
        <v>1838.19793</v>
      </c>
      <c r="E8">
        <v>1821.4923349999999</v>
      </c>
      <c r="F8">
        <f t="shared" si="0"/>
        <v>1829.8451325000001</v>
      </c>
      <c r="G8">
        <v>275.48188749999997</v>
      </c>
      <c r="H8">
        <v>40.244802825000001</v>
      </c>
      <c r="I8">
        <v>192.45853049999999</v>
      </c>
      <c r="J8">
        <v>5.7592769425000006</v>
      </c>
      <c r="K8">
        <v>130.3638325</v>
      </c>
      <c r="M8" s="7">
        <v>152.74339209590201</v>
      </c>
      <c r="N8" s="7">
        <v>159.73845230000001</v>
      </c>
      <c r="O8" s="7">
        <v>266.71538409999999</v>
      </c>
      <c r="P8" s="7">
        <v>266.77500020000002</v>
      </c>
      <c r="Q8" s="7">
        <v>0.10305555399999999</v>
      </c>
      <c r="R8" s="7">
        <v>159.73845230000001</v>
      </c>
      <c r="T8" s="22"/>
      <c r="U8">
        <v>2004</v>
      </c>
      <c r="V8">
        <v>32.703515074999999</v>
      </c>
      <c r="W8">
        <v>25.644922274999999</v>
      </c>
      <c r="X8">
        <f t="shared" ref="X8:X24" si="1">AVERAGE(V8:W8)</f>
        <v>29.174218674999999</v>
      </c>
      <c r="Y8">
        <v>2004</v>
      </c>
      <c r="Z8">
        <v>28.828168108</v>
      </c>
    </row>
    <row r="9" spans="1:26" x14ac:dyDescent="0.35">
      <c r="A9">
        <v>2005</v>
      </c>
      <c r="B9">
        <v>0.44437980649999997</v>
      </c>
      <c r="C9" s="11">
        <v>1.2440215993828747</v>
      </c>
      <c r="D9">
        <v>1844.42615</v>
      </c>
      <c r="E9">
        <v>1793.26162</v>
      </c>
      <c r="F9">
        <f t="shared" si="0"/>
        <v>1818.843885</v>
      </c>
      <c r="G9">
        <v>271.25847625</v>
      </c>
      <c r="H9">
        <v>37.248892474999998</v>
      </c>
      <c r="I9">
        <v>200.56453350000001</v>
      </c>
      <c r="J9">
        <v>6.2924261349999995</v>
      </c>
      <c r="K9">
        <v>132.49066549999998</v>
      </c>
      <c r="M9" s="7">
        <v>154.559942668595</v>
      </c>
      <c r="N9" s="7">
        <v>152.8335022</v>
      </c>
      <c r="O9" s="7">
        <v>252.0799997</v>
      </c>
      <c r="P9" s="7">
        <v>252.1660875</v>
      </c>
      <c r="Q9" s="7">
        <v>-0.13152941600000001</v>
      </c>
      <c r="R9" s="7">
        <v>152.8335022</v>
      </c>
      <c r="T9" s="22"/>
      <c r="U9">
        <v>2005</v>
      </c>
      <c r="V9">
        <v>34.631248974999998</v>
      </c>
      <c r="W9">
        <v>25.230859774999999</v>
      </c>
      <c r="X9">
        <f t="shared" si="1"/>
        <v>29.931054374999999</v>
      </c>
      <c r="Y9">
        <v>2005</v>
      </c>
      <c r="Z9">
        <v>29.214432700000003</v>
      </c>
    </row>
    <row r="10" spans="1:26" x14ac:dyDescent="0.35">
      <c r="A10">
        <v>2006</v>
      </c>
      <c r="B10">
        <v>0.36772995775000006</v>
      </c>
      <c r="C10" s="11">
        <v>1.6569046601111586</v>
      </c>
      <c r="D10">
        <v>1823.005735</v>
      </c>
      <c r="E10">
        <v>1824.46092</v>
      </c>
      <c r="F10">
        <f t="shared" si="0"/>
        <v>1823.7333275000001</v>
      </c>
      <c r="G10">
        <v>277.31120300000003</v>
      </c>
      <c r="H10">
        <v>29.106357275000001</v>
      </c>
      <c r="I10">
        <v>201.4127235</v>
      </c>
      <c r="J10">
        <v>5.6559797949999995</v>
      </c>
      <c r="K10">
        <v>130.20604349999999</v>
      </c>
      <c r="M10" s="7">
        <v>156.133954003306</v>
      </c>
      <c r="N10" s="7">
        <v>148.8235565</v>
      </c>
      <c r="O10" s="7">
        <v>263.29316160000002</v>
      </c>
      <c r="P10" s="7">
        <v>263.30769140000001</v>
      </c>
      <c r="Q10" s="7">
        <v>-4.3749990000000001E-3</v>
      </c>
      <c r="R10" s="7">
        <v>148.8235565</v>
      </c>
      <c r="T10" s="22"/>
      <c r="U10">
        <v>2006</v>
      </c>
      <c r="V10">
        <v>33.045312424999999</v>
      </c>
      <c r="W10">
        <v>25.219141024999999</v>
      </c>
      <c r="X10">
        <f t="shared" si="1"/>
        <v>29.132226724999999</v>
      </c>
      <c r="Y10">
        <v>2006</v>
      </c>
      <c r="Z10" s="1">
        <v>49.386696799999996</v>
      </c>
    </row>
    <row r="11" spans="1:26" x14ac:dyDescent="0.35">
      <c r="A11">
        <v>2007</v>
      </c>
      <c r="B11">
        <v>0.47544101599999999</v>
      </c>
      <c r="C11" s="11">
        <v>1.2471465175867691</v>
      </c>
      <c r="D11">
        <v>1833.6577299999999</v>
      </c>
      <c r="E11">
        <v>1860.2004300000001</v>
      </c>
      <c r="F11">
        <f t="shared" si="0"/>
        <v>1846.9290799999999</v>
      </c>
      <c r="G11">
        <v>271.40472400000004</v>
      </c>
      <c r="H11">
        <v>32.442836849999999</v>
      </c>
      <c r="I11">
        <v>190.40719224999998</v>
      </c>
      <c r="J11">
        <v>7.1872650025000002</v>
      </c>
      <c r="K11">
        <v>135.48622499999999</v>
      </c>
      <c r="M11" s="7">
        <v>155.72858866893401</v>
      </c>
      <c r="N11" s="7">
        <v>147.86443589999999</v>
      </c>
      <c r="O11" s="7">
        <v>256.76228079999998</v>
      </c>
      <c r="P11" s="7">
        <v>256.43445380000003</v>
      </c>
      <c r="Q11" s="7">
        <v>3.0975609000000001E-2</v>
      </c>
      <c r="R11" s="7">
        <v>147.86443589999999</v>
      </c>
      <c r="T11" s="22"/>
      <c r="U11">
        <v>2007</v>
      </c>
      <c r="V11">
        <v>33.467186949999999</v>
      </c>
      <c r="W11">
        <v>24.685937899999999</v>
      </c>
      <c r="X11">
        <f t="shared" si="1"/>
        <v>29.076562424999999</v>
      </c>
      <c r="Y11">
        <v>2007</v>
      </c>
      <c r="Z11" s="1">
        <v>51.132165899999997</v>
      </c>
    </row>
    <row r="12" spans="1:26" x14ac:dyDescent="0.35">
      <c r="A12">
        <v>2008</v>
      </c>
      <c r="B12">
        <v>0.45136804124999996</v>
      </c>
      <c r="C12" s="11">
        <v>0.50734013436178149</v>
      </c>
      <c r="D12">
        <v>1851.81852</v>
      </c>
      <c r="E12">
        <v>1865.5555300000001</v>
      </c>
      <c r="F12">
        <f t="shared" si="0"/>
        <v>1858.6870250000002</v>
      </c>
      <c r="G12">
        <v>272.64424124999999</v>
      </c>
      <c r="H12">
        <v>36.089701974999997</v>
      </c>
      <c r="I12">
        <v>178.56745174999998</v>
      </c>
      <c r="J12">
        <v>9.2055558600000005</v>
      </c>
      <c r="K12">
        <v>144.17848574999999</v>
      </c>
      <c r="M12" s="7">
        <v>157.87334083801699</v>
      </c>
      <c r="N12" s="7">
        <v>137.94884909999999</v>
      </c>
      <c r="O12" s="7">
        <v>258.98659739999999</v>
      </c>
      <c r="P12" s="7">
        <v>259.0092583</v>
      </c>
      <c r="Q12" s="7">
        <v>-1.0697676E-2</v>
      </c>
      <c r="R12" s="7">
        <v>137.94884909999999</v>
      </c>
      <c r="T12" s="22"/>
      <c r="U12">
        <v>2008</v>
      </c>
      <c r="V12">
        <v>29.928124924999999</v>
      </c>
      <c r="W12">
        <v>24.066797274999999</v>
      </c>
      <c r="X12">
        <f t="shared" si="1"/>
        <v>26.997461099999999</v>
      </c>
      <c r="Y12">
        <v>2008</v>
      </c>
      <c r="Z12">
        <v>26.343498224999998</v>
      </c>
    </row>
    <row r="13" spans="1:26" x14ac:dyDescent="0.35">
      <c r="A13">
        <v>2009</v>
      </c>
      <c r="B13">
        <v>0.52333326650000001</v>
      </c>
      <c r="C13" s="11">
        <v>0</v>
      </c>
      <c r="D13">
        <v>1861.9466600000001</v>
      </c>
      <c r="E13">
        <v>1839.24567</v>
      </c>
      <c r="F13">
        <f t="shared" si="0"/>
        <v>1850.5961649999999</v>
      </c>
      <c r="G13">
        <v>274.10790250000002</v>
      </c>
      <c r="H13">
        <v>37.887862424999994</v>
      </c>
      <c r="I13">
        <v>209.90215675000002</v>
      </c>
      <c r="J13">
        <v>7.9695415874999993</v>
      </c>
      <c r="K13">
        <v>137.57113275</v>
      </c>
      <c r="M13" s="7">
        <v>158.40736198429801</v>
      </c>
      <c r="N13" s="7">
        <v>128.03562539999999</v>
      </c>
      <c r="O13" s="7">
        <v>272.72083240000001</v>
      </c>
      <c r="P13" s="7">
        <v>271.9987524</v>
      </c>
      <c r="Q13" s="7">
        <v>4.6000006000000003E-2</v>
      </c>
      <c r="R13" s="7">
        <v>128.03562539999999</v>
      </c>
      <c r="T13" s="22"/>
      <c r="U13">
        <v>2009</v>
      </c>
      <c r="V13">
        <v>35.851952099999998</v>
      </c>
      <c r="W13">
        <v>25.279687899999999</v>
      </c>
      <c r="X13">
        <f t="shared" si="1"/>
        <v>30.565819999999999</v>
      </c>
      <c r="Y13">
        <v>2009</v>
      </c>
      <c r="Z13" s="1">
        <v>47.11196648</v>
      </c>
    </row>
    <row r="14" spans="1:26" x14ac:dyDescent="0.35">
      <c r="A14">
        <v>2010</v>
      </c>
      <c r="B14">
        <v>0.49482847749999997</v>
      </c>
      <c r="C14" s="11">
        <v>1.0020090406830737</v>
      </c>
      <c r="D14">
        <v>1857.3482549999999</v>
      </c>
      <c r="E14">
        <v>1830.1070650000001</v>
      </c>
      <c r="F14">
        <f t="shared" si="0"/>
        <v>1843.72766</v>
      </c>
      <c r="G14">
        <v>274.90084074999999</v>
      </c>
      <c r="H14">
        <v>34.038111800000003</v>
      </c>
      <c r="I14">
        <v>197.32577125000003</v>
      </c>
      <c r="J14">
        <v>8.9401656099999993</v>
      </c>
      <c r="K14">
        <v>140.984768</v>
      </c>
      <c r="M14" s="7">
        <v>156.646583333884</v>
      </c>
      <c r="N14" s="7">
        <v>129.87209290000001</v>
      </c>
      <c r="O14" s="7">
        <v>264.63424700000002</v>
      </c>
      <c r="P14" s="7">
        <v>264.4602567</v>
      </c>
      <c r="Q14" s="7">
        <v>-9.6086959E-2</v>
      </c>
      <c r="R14" s="7">
        <v>129.87209290000001</v>
      </c>
      <c r="T14" s="22"/>
      <c r="U14">
        <v>2010</v>
      </c>
      <c r="V14">
        <v>34.426171324999999</v>
      </c>
      <c r="W14">
        <v>25.457422274999999</v>
      </c>
      <c r="X14">
        <f t="shared" si="1"/>
        <v>29.941796799999999</v>
      </c>
      <c r="Y14">
        <v>2010</v>
      </c>
      <c r="Z14" s="2">
        <v>15.806660033333335</v>
      </c>
    </row>
    <row r="15" spans="1:26" x14ac:dyDescent="0.35">
      <c r="A15">
        <v>2011</v>
      </c>
      <c r="B15">
        <v>0.44021579624999996</v>
      </c>
      <c r="C15" s="11">
        <v>0.40814917127071826</v>
      </c>
      <c r="D15">
        <v>1860.43326</v>
      </c>
      <c r="E15">
        <v>1835.28755</v>
      </c>
      <c r="F15">
        <f t="shared" si="0"/>
        <v>1847.8604049999999</v>
      </c>
      <c r="G15">
        <v>270.29802699999999</v>
      </c>
      <c r="H15">
        <v>33.480280274999998</v>
      </c>
      <c r="I15">
        <v>193.084202</v>
      </c>
      <c r="J15">
        <v>8.5001136150000001</v>
      </c>
      <c r="K15">
        <v>137.56661399999999</v>
      </c>
      <c r="M15" s="7">
        <v>159.140824869672</v>
      </c>
      <c r="N15" s="7">
        <v>129.56766619999999</v>
      </c>
      <c r="O15" s="7">
        <v>264.37441840000002</v>
      </c>
      <c r="P15" s="7">
        <v>264.0148504</v>
      </c>
      <c r="Q15" s="7">
        <v>0.109117651</v>
      </c>
      <c r="R15" s="7">
        <v>129.56766619999999</v>
      </c>
      <c r="T15" s="22"/>
      <c r="U15">
        <v>2011</v>
      </c>
      <c r="V15">
        <v>32.568749924999999</v>
      </c>
      <c r="W15">
        <v>24.299219149999999</v>
      </c>
      <c r="X15">
        <f t="shared" si="1"/>
        <v>28.433984537499999</v>
      </c>
      <c r="Y15">
        <v>2011</v>
      </c>
      <c r="Z15">
        <v>27.9676395575</v>
      </c>
    </row>
    <row r="16" spans="1:26" x14ac:dyDescent="0.35">
      <c r="A16">
        <v>2012</v>
      </c>
      <c r="B16">
        <v>0.52367185049999998</v>
      </c>
      <c r="C16" s="11">
        <v>1.0729813664596273</v>
      </c>
      <c r="D16">
        <v>1877.4881</v>
      </c>
      <c r="E16">
        <v>1843.4366199999999</v>
      </c>
      <c r="F16">
        <f t="shared" si="0"/>
        <v>1860.46236</v>
      </c>
      <c r="G16">
        <v>274.2004015</v>
      </c>
      <c r="H16">
        <v>41.148213249999998</v>
      </c>
      <c r="I16">
        <v>205.67746725000001</v>
      </c>
      <c r="J16">
        <v>8.3000918375000001</v>
      </c>
      <c r="K16">
        <v>135.95936025</v>
      </c>
      <c r="M16" s="7">
        <v>154.894081228099</v>
      </c>
      <c r="N16" s="7">
        <v>125.46297509999999</v>
      </c>
      <c r="O16" s="7">
        <v>255.41625020000001</v>
      </c>
      <c r="P16" s="7">
        <v>255.12929299999999</v>
      </c>
      <c r="Q16" s="7">
        <v>-2.6428574E-2</v>
      </c>
      <c r="R16" s="7">
        <v>125.46297509999999</v>
      </c>
      <c r="T16" s="22"/>
      <c r="U16">
        <v>2012</v>
      </c>
      <c r="V16">
        <v>34.814843674999999</v>
      </c>
      <c r="W16">
        <v>25.883203524999999</v>
      </c>
      <c r="X16">
        <f t="shared" si="1"/>
        <v>30.349023599999999</v>
      </c>
      <c r="Y16">
        <v>2012</v>
      </c>
      <c r="Z16">
        <v>25.555826175</v>
      </c>
    </row>
    <row r="17" spans="1:26" x14ac:dyDescent="0.35">
      <c r="A17">
        <v>2013</v>
      </c>
      <c r="B17">
        <v>0.45311983700000003</v>
      </c>
      <c r="C17" s="11">
        <v>1.3108384458077709</v>
      </c>
      <c r="D17">
        <v>1860.31684</v>
      </c>
      <c r="E17">
        <v>1848.4424799999999</v>
      </c>
      <c r="F17">
        <f t="shared" si="0"/>
        <v>1854.3796600000001</v>
      </c>
      <c r="G17">
        <v>275.82113649999997</v>
      </c>
      <c r="H17">
        <v>30.681678275000003</v>
      </c>
      <c r="I17">
        <v>211.22354525</v>
      </c>
      <c r="J17">
        <v>7.6942180375000007</v>
      </c>
      <c r="K17">
        <v>135.54928975000001</v>
      </c>
      <c r="M17" s="7">
        <v>150.61828048264499</v>
      </c>
      <c r="N17" s="7">
        <v>121.57872089999999</v>
      </c>
      <c r="O17" s="7">
        <v>272.17438879999997</v>
      </c>
      <c r="P17" s="7">
        <v>271.0478731</v>
      </c>
      <c r="Q17" s="7">
        <v>-3.3684209E-2</v>
      </c>
      <c r="R17" s="7">
        <v>121.57872089999999</v>
      </c>
      <c r="T17" s="22"/>
      <c r="U17">
        <v>2013</v>
      </c>
      <c r="V17">
        <v>32.098046324999999</v>
      </c>
      <c r="W17">
        <v>24.850000399999999</v>
      </c>
      <c r="X17">
        <f t="shared" si="1"/>
        <v>28.474023362499999</v>
      </c>
      <c r="Y17">
        <v>2013</v>
      </c>
      <c r="Z17">
        <v>41.565922520000001</v>
      </c>
    </row>
    <row r="18" spans="1:26" x14ac:dyDescent="0.35">
      <c r="A18">
        <v>2014</v>
      </c>
      <c r="B18">
        <v>0.54327225700000004</v>
      </c>
      <c r="C18" s="11">
        <v>0.95015455950540961</v>
      </c>
      <c r="D18">
        <v>1866.079405</v>
      </c>
      <c r="E18">
        <v>1860.724295</v>
      </c>
      <c r="F18">
        <f t="shared" si="0"/>
        <v>1863.40185</v>
      </c>
      <c r="G18">
        <v>274.92737575000001</v>
      </c>
      <c r="H18">
        <v>47.273865624999999</v>
      </c>
      <c r="I18">
        <v>207.05445075</v>
      </c>
      <c r="J18">
        <v>8.305892085</v>
      </c>
      <c r="K18">
        <v>135.67311100000001</v>
      </c>
      <c r="M18" s="7">
        <v>151.86987105950399</v>
      </c>
      <c r="N18" s="7">
        <v>128.74846120000001</v>
      </c>
      <c r="O18" s="7">
        <v>272.8128577</v>
      </c>
      <c r="P18" s="7">
        <v>273.82022419999998</v>
      </c>
      <c r="Q18" s="7">
        <v>-9.3043480999999997E-2</v>
      </c>
      <c r="R18" s="7">
        <v>128.74846120000001</v>
      </c>
      <c r="T18" s="22"/>
      <c r="U18">
        <v>2014</v>
      </c>
      <c r="V18">
        <v>34.607811474999998</v>
      </c>
      <c r="W18">
        <v>25.738672274999999</v>
      </c>
      <c r="X18">
        <f t="shared" si="1"/>
        <v>30.173241874999999</v>
      </c>
      <c r="Y18">
        <v>2014</v>
      </c>
      <c r="Z18">
        <v>38.498858133333336</v>
      </c>
    </row>
    <row r="19" spans="1:26" x14ac:dyDescent="0.35">
      <c r="A19">
        <v>2015</v>
      </c>
      <c r="B19">
        <v>0.47368673224999996</v>
      </c>
      <c r="C19" s="11">
        <v>1.5469230769230768</v>
      </c>
      <c r="D19">
        <v>1892.389265</v>
      </c>
      <c r="E19">
        <v>1860.8407099999999</v>
      </c>
      <c r="F19">
        <f t="shared" si="0"/>
        <v>1876.6149875000001</v>
      </c>
      <c r="G19">
        <v>282.57446275000001</v>
      </c>
      <c r="H19">
        <v>41.389913275000005</v>
      </c>
      <c r="I19">
        <v>207.8652075</v>
      </c>
      <c r="J19">
        <v>7.9033795075000004</v>
      </c>
      <c r="K19">
        <v>131.13303200000001</v>
      </c>
      <c r="M19" s="7">
        <v>145.70527327541001</v>
      </c>
      <c r="N19" s="7">
        <v>136.36194710000001</v>
      </c>
      <c r="O19" s="7">
        <v>268.78955150000002</v>
      </c>
      <c r="P19" s="7">
        <v>268.03023230000002</v>
      </c>
      <c r="Q19" s="7">
        <v>-9.1562497000000007E-2</v>
      </c>
      <c r="R19" s="7">
        <v>136.36194710000001</v>
      </c>
      <c r="T19" s="22"/>
      <c r="U19">
        <v>2015</v>
      </c>
      <c r="V19">
        <v>35.072654749999998</v>
      </c>
      <c r="W19">
        <v>26.113672274999999</v>
      </c>
      <c r="X19">
        <f t="shared" si="1"/>
        <v>30.593163512499999</v>
      </c>
      <c r="Y19">
        <v>2015</v>
      </c>
      <c r="Z19">
        <v>20.012087833333332</v>
      </c>
    </row>
    <row r="20" spans="1:26" x14ac:dyDescent="0.35">
      <c r="A20">
        <v>2016</v>
      </c>
      <c r="B20">
        <v>0.45325733725</v>
      </c>
      <c r="C20" s="11">
        <v>1.3540352042510795</v>
      </c>
      <c r="D20">
        <v>1891.5161499999999</v>
      </c>
      <c r="E20">
        <v>1858.68703</v>
      </c>
      <c r="F20">
        <f t="shared" si="0"/>
        <v>1875.10159</v>
      </c>
      <c r="G20">
        <v>271.22078699999997</v>
      </c>
      <c r="H20">
        <v>34.680631024999997</v>
      </c>
      <c r="I20">
        <v>184.10949325000001</v>
      </c>
      <c r="J20">
        <v>8.5488865974999992</v>
      </c>
      <c r="K20">
        <v>138.64517574999999</v>
      </c>
      <c r="M20" s="7">
        <v>151.98344806859501</v>
      </c>
      <c r="N20" s="7">
        <v>127.70760799999999</v>
      </c>
      <c r="O20" s="7">
        <v>257.30769299999997</v>
      </c>
      <c r="P20" s="7">
        <v>256.58000090000002</v>
      </c>
      <c r="Q20" s="7">
        <v>-0.105666669</v>
      </c>
      <c r="R20" s="7">
        <v>127.70760799999999</v>
      </c>
      <c r="T20" s="22"/>
      <c r="U20">
        <v>2016</v>
      </c>
      <c r="V20">
        <v>33.330468199999999</v>
      </c>
      <c r="W20">
        <v>25.226953524999999</v>
      </c>
      <c r="X20">
        <f t="shared" si="1"/>
        <v>29.278710862499999</v>
      </c>
      <c r="Y20">
        <v>2016</v>
      </c>
      <c r="Z20" s="2">
        <v>16.251443900000002</v>
      </c>
    </row>
    <row r="21" spans="1:26" x14ac:dyDescent="0.35">
      <c r="A21">
        <v>2017</v>
      </c>
      <c r="B21">
        <v>0.51522279525000003</v>
      </c>
      <c r="C21" s="11">
        <v>1.2021589793915604</v>
      </c>
      <c r="D21">
        <v>1899.89805</v>
      </c>
      <c r="E21">
        <v>1871.49271</v>
      </c>
      <c r="F21">
        <f t="shared" si="0"/>
        <v>1885.6953800000001</v>
      </c>
      <c r="G21">
        <v>273.08276375000003</v>
      </c>
      <c r="H21">
        <v>44.661728499999995</v>
      </c>
      <c r="I21">
        <v>186.2288245</v>
      </c>
      <c r="J21">
        <v>8.4885983800000009</v>
      </c>
      <c r="K21">
        <v>136.84030925000002</v>
      </c>
      <c r="M21" s="7">
        <v>148.789957839669</v>
      </c>
      <c r="N21" s="7">
        <v>126.85560769999999</v>
      </c>
      <c r="O21" s="7">
        <v>274.17500009999998</v>
      </c>
      <c r="P21" s="7">
        <v>273.96309339999999</v>
      </c>
      <c r="Q21" s="7">
        <v>0.18593749500000001</v>
      </c>
      <c r="R21" s="7">
        <v>126.85560769999999</v>
      </c>
      <c r="T21" s="22"/>
      <c r="U21">
        <v>2017</v>
      </c>
      <c r="V21">
        <v>33.533593199999999</v>
      </c>
      <c r="W21">
        <v>25.631250399999999</v>
      </c>
      <c r="X21">
        <f t="shared" si="1"/>
        <v>29.582421799999999</v>
      </c>
      <c r="Y21">
        <v>2017</v>
      </c>
      <c r="Z21">
        <v>23.287647025000002</v>
      </c>
    </row>
    <row r="22" spans="1:26" x14ac:dyDescent="0.35">
      <c r="A22">
        <v>2018</v>
      </c>
      <c r="B22">
        <v>0.49364527325000002</v>
      </c>
      <c r="C22" s="11">
        <v>0.4570963806425376</v>
      </c>
      <c r="D22">
        <v>1889.71171</v>
      </c>
      <c r="E22">
        <v>1871.0270500000001</v>
      </c>
      <c r="F22">
        <f t="shared" si="0"/>
        <v>1880.3693800000001</v>
      </c>
      <c r="G22">
        <v>275.41374199999996</v>
      </c>
      <c r="H22">
        <v>44.119007100000005</v>
      </c>
      <c r="I22">
        <v>195.95239650000002</v>
      </c>
      <c r="J22">
        <v>7.7614987749999997</v>
      </c>
      <c r="K22">
        <v>136.10830875000002</v>
      </c>
      <c r="M22" s="7">
        <v>147.89229902809899</v>
      </c>
      <c r="N22" s="7">
        <v>114.4691869</v>
      </c>
      <c r="O22" s="7">
        <v>248.9791673</v>
      </c>
      <c r="P22" s="7">
        <v>248.9035724</v>
      </c>
      <c r="Q22" s="7">
        <v>-0.102999998</v>
      </c>
      <c r="R22" s="7">
        <v>114.4691869</v>
      </c>
      <c r="T22" s="22"/>
      <c r="U22">
        <v>2018</v>
      </c>
      <c r="V22">
        <v>34.289452574999999</v>
      </c>
      <c r="W22">
        <v>25.435937899999999</v>
      </c>
      <c r="X22">
        <f t="shared" si="1"/>
        <v>29.862695237499999</v>
      </c>
      <c r="Y22">
        <v>2018</v>
      </c>
      <c r="Z22">
        <v>29.124385200000003</v>
      </c>
    </row>
    <row r="23" spans="1:26" x14ac:dyDescent="0.35">
      <c r="A23">
        <v>2019</v>
      </c>
      <c r="B23">
        <v>0.45824760200000003</v>
      </c>
      <c r="C23" s="11">
        <v>0.95697329376854601</v>
      </c>
      <c r="D23">
        <v>1858.6870250000002</v>
      </c>
      <c r="E23">
        <v>1886.6267049999999</v>
      </c>
      <c r="F23">
        <f t="shared" si="0"/>
        <v>1872.6568649999999</v>
      </c>
      <c r="G23">
        <v>272.0725175</v>
      </c>
      <c r="H23">
        <v>36.932752125</v>
      </c>
      <c r="I23">
        <v>187.978634</v>
      </c>
      <c r="J23">
        <v>7.6361663674999996</v>
      </c>
      <c r="K23">
        <v>134.70928574999999</v>
      </c>
      <c r="M23" s="7">
        <v>146.80208197786899</v>
      </c>
      <c r="N23" s="7">
        <v>122.51444739999999</v>
      </c>
      <c r="O23" s="7">
        <v>278.5295759</v>
      </c>
      <c r="P23" s="7">
        <v>278.65454469999997</v>
      </c>
      <c r="Q23" s="7">
        <v>-8.4482759000000004E-2</v>
      </c>
      <c r="R23" s="7">
        <v>122.51444739999999</v>
      </c>
      <c r="T23" s="22"/>
      <c r="U23">
        <v>2019</v>
      </c>
      <c r="V23">
        <v>34.820702099999998</v>
      </c>
      <c r="W23">
        <v>25.752344149999999</v>
      </c>
      <c r="X23">
        <f t="shared" si="1"/>
        <v>30.286523124999999</v>
      </c>
      <c r="Y23">
        <v>2019</v>
      </c>
      <c r="Z23">
        <v>36.984582424999999</v>
      </c>
    </row>
    <row r="24" spans="1:26" x14ac:dyDescent="0.35">
      <c r="A24">
        <v>2020</v>
      </c>
      <c r="B24">
        <v>0.45432754625000005</v>
      </c>
      <c r="C24" s="11">
        <v>0.97706603400553582</v>
      </c>
      <c r="D24">
        <v>1877.19706</v>
      </c>
      <c r="E24">
        <v>1884.6476500000001</v>
      </c>
      <c r="F24">
        <f>AVERAGE(D24:E24)</f>
        <v>1880.9223550000002</v>
      </c>
      <c r="G24">
        <v>267.29808774999998</v>
      </c>
      <c r="H24">
        <v>34.014342749999997</v>
      </c>
      <c r="I24">
        <v>179.57932299999999</v>
      </c>
      <c r="J24">
        <v>8.3754172474999997</v>
      </c>
      <c r="K24">
        <v>134.20316300000002</v>
      </c>
      <c r="M24" s="7">
        <v>150.231494931405</v>
      </c>
      <c r="N24" s="7">
        <v>118.5672414</v>
      </c>
      <c r="O24" s="7">
        <v>270.52567720000002</v>
      </c>
      <c r="P24" s="7">
        <v>270.50864289999998</v>
      </c>
      <c r="Q24" s="7">
        <v>-1.0303023999999999E-2</v>
      </c>
      <c r="R24" s="7">
        <v>118.5672414</v>
      </c>
      <c r="T24" s="22"/>
      <c r="U24">
        <v>2020</v>
      </c>
      <c r="V24">
        <v>31.668359774999999</v>
      </c>
      <c r="W24">
        <v>25.070703524999999</v>
      </c>
      <c r="X24">
        <f t="shared" si="1"/>
        <v>28.369531649999999</v>
      </c>
      <c r="Y24">
        <v>2020</v>
      </c>
      <c r="Z24">
        <v>29.956616220000001</v>
      </c>
    </row>
    <row r="25" spans="1:26" x14ac:dyDescent="0.35">
      <c r="T25" s="22"/>
    </row>
  </sheetData>
  <mergeCells count="5">
    <mergeCell ref="T1:T25"/>
    <mergeCell ref="U1:W1"/>
    <mergeCell ref="U2:W2"/>
    <mergeCell ref="Y2:Z2"/>
    <mergeCell ref="A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B951-75A6-432C-A5AA-B09D7A069E37}">
  <dimension ref="A1:Z32"/>
  <sheetViews>
    <sheetView topLeftCell="H15" workbookViewId="0">
      <selection activeCell="M1" sqref="M1"/>
    </sheetView>
  </sheetViews>
  <sheetFormatPr defaultRowHeight="14.5" x14ac:dyDescent="0.35"/>
  <sheetData>
    <row r="1" spans="1:26" ht="16" x14ac:dyDescent="0.4">
      <c r="A1" s="21" t="s">
        <v>107</v>
      </c>
      <c r="B1" s="21"/>
      <c r="C1" s="21"/>
      <c r="D1" s="21"/>
      <c r="E1" s="21"/>
      <c r="F1" s="21"/>
      <c r="G1" s="21"/>
      <c r="H1" s="21"/>
      <c r="I1" s="21"/>
      <c r="J1" s="21"/>
      <c r="K1" s="21"/>
      <c r="T1" s="22" t="s">
        <v>13</v>
      </c>
      <c r="U1" s="23" t="s">
        <v>5</v>
      </c>
      <c r="V1" s="23"/>
      <c r="W1" s="23"/>
      <c r="Y1" s="3" t="s">
        <v>10</v>
      </c>
      <c r="Z1" s="3"/>
    </row>
    <row r="2" spans="1:26" ht="18.5" x14ac:dyDescent="0.45">
      <c r="A2" s="4"/>
      <c r="B2" s="4" t="s">
        <v>16</v>
      </c>
      <c r="C2" s="4"/>
      <c r="D2" s="4" t="s">
        <v>17</v>
      </c>
      <c r="E2" s="4" t="s">
        <v>17</v>
      </c>
      <c r="F2" s="19" t="s">
        <v>120</v>
      </c>
      <c r="G2" s="4" t="s">
        <v>40</v>
      </c>
      <c r="H2" s="4" t="s">
        <v>18</v>
      </c>
      <c r="I2" s="4" t="s">
        <v>19</v>
      </c>
      <c r="J2" s="4" t="s">
        <v>18</v>
      </c>
      <c r="K2" s="5" t="s">
        <v>17</v>
      </c>
      <c r="L2" s="6"/>
      <c r="T2" s="22"/>
      <c r="U2" s="24" t="s">
        <v>1</v>
      </c>
      <c r="V2" s="24"/>
      <c r="W2" s="24"/>
      <c r="X2" s="19" t="s">
        <v>113</v>
      </c>
    </row>
    <row r="3" spans="1:26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19" t="s">
        <v>122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31</v>
      </c>
      <c r="T3" s="22"/>
      <c r="U3" t="s">
        <v>2</v>
      </c>
      <c r="V3" t="s">
        <v>3</v>
      </c>
      <c r="W3" t="s">
        <v>4</v>
      </c>
      <c r="X3" s="19" t="s">
        <v>114</v>
      </c>
      <c r="Y3" t="s">
        <v>8</v>
      </c>
      <c r="Z3" t="s">
        <v>9</v>
      </c>
    </row>
    <row r="4" spans="1:26" x14ac:dyDescent="0.35">
      <c r="A4">
        <v>2000</v>
      </c>
      <c r="B4">
        <v>0.39375853524999999</v>
      </c>
      <c r="C4">
        <v>1.89</v>
      </c>
      <c r="G4">
        <v>267.41370399999994</v>
      </c>
      <c r="H4">
        <v>37.628243949999998</v>
      </c>
      <c r="I4">
        <v>185.01475124999999</v>
      </c>
      <c r="J4">
        <v>5.0430875049999999</v>
      </c>
      <c r="K4">
        <v>141.20825199999999</v>
      </c>
      <c r="M4" s="7">
        <v>159.728737030578</v>
      </c>
      <c r="N4" s="7"/>
      <c r="O4" s="7"/>
      <c r="P4" s="7"/>
      <c r="Q4" s="7"/>
      <c r="R4" s="7"/>
      <c r="T4" s="22"/>
      <c r="Y4">
        <v>2000</v>
      </c>
      <c r="Z4">
        <v>35.914047500000002</v>
      </c>
    </row>
    <row r="5" spans="1:26" x14ac:dyDescent="0.35">
      <c r="A5">
        <v>2001</v>
      </c>
      <c r="B5">
        <v>0.37840737775</v>
      </c>
      <c r="C5">
        <v>1.86</v>
      </c>
      <c r="G5">
        <v>271.65477025000001</v>
      </c>
      <c r="H5">
        <v>35.669495600000005</v>
      </c>
      <c r="I5">
        <v>187.00976175</v>
      </c>
      <c r="J5">
        <v>5.5404122400000002</v>
      </c>
      <c r="K5">
        <v>148.89185549999999</v>
      </c>
      <c r="M5" s="7">
        <v>156.122877223388</v>
      </c>
      <c r="N5" s="7"/>
      <c r="O5" s="7"/>
      <c r="P5" s="7"/>
      <c r="Q5" s="7"/>
      <c r="R5" s="7"/>
      <c r="T5" s="22"/>
      <c r="Y5">
        <v>2001</v>
      </c>
      <c r="Z5" s="1">
        <v>51.229696249999996</v>
      </c>
    </row>
    <row r="6" spans="1:26" x14ac:dyDescent="0.35">
      <c r="A6">
        <v>2002</v>
      </c>
      <c r="B6">
        <v>0.53359618025</v>
      </c>
      <c r="C6">
        <v>1.69</v>
      </c>
      <c r="D6">
        <v>1843.7858649999998</v>
      </c>
      <c r="E6">
        <v>1853.448335</v>
      </c>
      <c r="F6">
        <f>AVERAGE(D6:E6)</f>
        <v>1848.6170999999999</v>
      </c>
      <c r="G6">
        <v>268.62696825</v>
      </c>
      <c r="H6">
        <v>46.994998350000003</v>
      </c>
      <c r="I6">
        <v>190.36408250000002</v>
      </c>
      <c r="J6">
        <v>5.9469471550000002</v>
      </c>
      <c r="K6">
        <v>143.19788149999999</v>
      </c>
      <c r="M6" s="7">
        <v>158.459879334297</v>
      </c>
      <c r="N6" s="7">
        <v>164.00916000000001</v>
      </c>
      <c r="O6" s="7"/>
      <c r="P6" s="7"/>
      <c r="Q6" s="7"/>
      <c r="R6" s="7">
        <v>164.00916000000001</v>
      </c>
      <c r="T6" s="22"/>
      <c r="Y6">
        <v>2002</v>
      </c>
      <c r="Z6">
        <v>23.194551449999999</v>
      </c>
    </row>
    <row r="7" spans="1:26" x14ac:dyDescent="0.35">
      <c r="A7">
        <v>2003</v>
      </c>
      <c r="B7">
        <v>0.33278048049999998</v>
      </c>
      <c r="C7">
        <v>1.5</v>
      </c>
      <c r="D7">
        <v>1848.5588950000001</v>
      </c>
      <c r="E7">
        <v>1845.47389</v>
      </c>
      <c r="F7">
        <f t="shared" ref="F7:F24" si="0">AVERAGE(D7:E7)</f>
        <v>1847.0163925000002</v>
      </c>
      <c r="G7">
        <v>270.62474050000003</v>
      </c>
      <c r="H7">
        <v>29.452064449999998</v>
      </c>
      <c r="I7">
        <v>181.51452625000002</v>
      </c>
      <c r="J7">
        <v>5.8840314830000002</v>
      </c>
      <c r="K7">
        <v>141.35785279999999</v>
      </c>
      <c r="M7" s="7">
        <v>161.58743955245899</v>
      </c>
      <c r="N7" s="7">
        <v>153.62036509999999</v>
      </c>
      <c r="O7" s="7"/>
      <c r="P7" s="7"/>
      <c r="Q7" s="7"/>
      <c r="R7" s="7">
        <v>153.62036509999999</v>
      </c>
      <c r="T7" s="22"/>
      <c r="U7">
        <v>2003</v>
      </c>
      <c r="V7">
        <v>31.379296324999999</v>
      </c>
      <c r="W7">
        <v>24.746484774999999</v>
      </c>
      <c r="Y7">
        <v>2003</v>
      </c>
      <c r="Z7">
        <v>38.915613960000002</v>
      </c>
    </row>
    <row r="8" spans="1:26" x14ac:dyDescent="0.35">
      <c r="A8">
        <v>2004</v>
      </c>
      <c r="B8">
        <v>0.45767321425000002</v>
      </c>
      <c r="C8">
        <v>2.02</v>
      </c>
      <c r="D8">
        <v>1838.19793</v>
      </c>
      <c r="E8">
        <v>1854.6124949999999</v>
      </c>
      <c r="F8">
        <f t="shared" si="0"/>
        <v>1846.4052124999998</v>
      </c>
      <c r="G8">
        <v>271.88062274999999</v>
      </c>
      <c r="H8">
        <v>37.124061924999999</v>
      </c>
      <c r="I8">
        <v>183.25083175</v>
      </c>
      <c r="J8">
        <v>6.7637916379999998</v>
      </c>
      <c r="K8">
        <v>141.32236850000001</v>
      </c>
      <c r="M8" s="7">
        <v>152.74339209590201</v>
      </c>
      <c r="N8" s="7">
        <v>159.73845230000001</v>
      </c>
      <c r="O8" s="7">
        <v>266.71538409999999</v>
      </c>
      <c r="P8" s="7">
        <v>266.77500020000002</v>
      </c>
      <c r="Q8" s="7">
        <v>0.10305555399999999</v>
      </c>
      <c r="R8" s="7">
        <v>159.73845230000001</v>
      </c>
      <c r="T8" s="22"/>
      <c r="U8">
        <v>2004</v>
      </c>
      <c r="V8">
        <v>32.172265074999999</v>
      </c>
      <c r="W8">
        <v>24.648828524999999</v>
      </c>
      <c r="Y8">
        <v>2004</v>
      </c>
      <c r="Z8">
        <v>28.828168108</v>
      </c>
    </row>
    <row r="9" spans="1:26" x14ac:dyDescent="0.35">
      <c r="A9">
        <v>2005</v>
      </c>
      <c r="B9">
        <v>0.41453605124999998</v>
      </c>
      <c r="C9">
        <v>1.52</v>
      </c>
      <c r="D9">
        <v>1844.42615</v>
      </c>
      <c r="E9">
        <v>1860.8989200000001</v>
      </c>
      <c r="F9">
        <f t="shared" si="0"/>
        <v>1852.6625349999999</v>
      </c>
      <c r="G9">
        <v>265.32275375</v>
      </c>
      <c r="H9">
        <v>35.857080725000003</v>
      </c>
      <c r="I9">
        <v>183.56587999999999</v>
      </c>
      <c r="J9">
        <v>6.9200227779999999</v>
      </c>
      <c r="K9">
        <v>143.82198529999999</v>
      </c>
      <c r="M9" s="7">
        <v>154.559942668595</v>
      </c>
      <c r="N9" s="7">
        <v>152.8335022</v>
      </c>
      <c r="O9" s="7">
        <v>252.0799997</v>
      </c>
      <c r="P9" s="7">
        <v>252.1660875</v>
      </c>
      <c r="Q9" s="7">
        <v>-0.13152941600000001</v>
      </c>
      <c r="R9" s="7">
        <v>152.8335022</v>
      </c>
      <c r="T9" s="22"/>
      <c r="U9">
        <v>2005</v>
      </c>
      <c r="V9">
        <v>31.531640074999999</v>
      </c>
      <c r="W9">
        <v>24.357812899999999</v>
      </c>
      <c r="Y9">
        <v>2005</v>
      </c>
      <c r="Z9">
        <v>29.214432700000003</v>
      </c>
    </row>
    <row r="10" spans="1:26" x14ac:dyDescent="0.35">
      <c r="A10">
        <v>2006</v>
      </c>
      <c r="B10">
        <v>0.35015767399999997</v>
      </c>
      <c r="C10">
        <v>1.8</v>
      </c>
      <c r="D10">
        <v>1823.005735</v>
      </c>
      <c r="E10">
        <v>1860.31684</v>
      </c>
      <c r="F10">
        <f t="shared" si="0"/>
        <v>1841.6612875000001</v>
      </c>
      <c r="G10">
        <v>273.05541225000002</v>
      </c>
      <c r="H10">
        <v>29.348757649999996</v>
      </c>
      <c r="I10">
        <v>193.555992</v>
      </c>
      <c r="J10">
        <v>6.0754128400000003</v>
      </c>
      <c r="K10">
        <v>143.662926</v>
      </c>
      <c r="M10" s="7">
        <v>156.133954003306</v>
      </c>
      <c r="N10" s="7">
        <v>148.8235565</v>
      </c>
      <c r="O10" s="7">
        <v>263.29316160000002</v>
      </c>
      <c r="P10" s="7">
        <v>263.30769140000001</v>
      </c>
      <c r="Q10" s="7">
        <v>-4.3749990000000001E-3</v>
      </c>
      <c r="R10" s="7">
        <v>148.8235565</v>
      </c>
      <c r="T10" s="22"/>
      <c r="U10">
        <v>2006</v>
      </c>
      <c r="V10">
        <v>32.066796799999999</v>
      </c>
      <c r="W10">
        <v>24.609766024999999</v>
      </c>
      <c r="Y10">
        <v>2006</v>
      </c>
      <c r="Z10" s="1">
        <v>49.386696799999996</v>
      </c>
    </row>
    <row r="11" spans="1:26" x14ac:dyDescent="0.35">
      <c r="A11">
        <v>2007</v>
      </c>
      <c r="B11">
        <v>0.44732238324999996</v>
      </c>
      <c r="C11">
        <v>1.7</v>
      </c>
      <c r="D11">
        <v>1833.6577299999999</v>
      </c>
      <c r="E11">
        <v>1860.2004300000001</v>
      </c>
      <c r="F11">
        <f t="shared" si="0"/>
        <v>1846.9290799999999</v>
      </c>
      <c r="G11">
        <v>266.13191975000001</v>
      </c>
      <c r="H11">
        <v>35.103798325</v>
      </c>
      <c r="I11">
        <v>178.00810250000001</v>
      </c>
      <c r="J11">
        <v>8.1925075730000003</v>
      </c>
      <c r="K11">
        <v>150.2950553</v>
      </c>
      <c r="M11" s="7">
        <v>155.72858866893401</v>
      </c>
      <c r="N11" s="7">
        <v>147.86443589999999</v>
      </c>
      <c r="O11" s="7">
        <v>256.76228079999998</v>
      </c>
      <c r="P11" s="7">
        <v>256.43445380000003</v>
      </c>
      <c r="Q11" s="7">
        <v>3.0975609000000001E-2</v>
      </c>
      <c r="R11" s="7">
        <v>147.86443589999999</v>
      </c>
      <c r="T11" s="22"/>
      <c r="U11">
        <v>2007</v>
      </c>
      <c r="V11">
        <v>31.881249449999999</v>
      </c>
      <c r="W11">
        <v>24.115625399999999</v>
      </c>
      <c r="Y11">
        <v>2007</v>
      </c>
      <c r="Z11" s="1">
        <v>51.132165899999997</v>
      </c>
    </row>
    <row r="12" spans="1:26" x14ac:dyDescent="0.35">
      <c r="A12">
        <v>2008</v>
      </c>
      <c r="B12">
        <v>0.46621204174999997</v>
      </c>
      <c r="C12">
        <v>1.89</v>
      </c>
      <c r="D12">
        <v>1851.81852</v>
      </c>
      <c r="E12">
        <v>1865.5555300000001</v>
      </c>
      <c r="F12">
        <f t="shared" si="0"/>
        <v>1858.6870250000002</v>
      </c>
      <c r="G12">
        <v>269.84201049999996</v>
      </c>
      <c r="H12">
        <v>38.874947875000004</v>
      </c>
      <c r="I12">
        <v>174.22216825000001</v>
      </c>
      <c r="J12">
        <v>9.7517689430000001</v>
      </c>
      <c r="K12">
        <v>158.12968050000001</v>
      </c>
      <c r="M12" s="7">
        <v>157.87334083801699</v>
      </c>
      <c r="N12" s="7">
        <v>137.94884909999999</v>
      </c>
      <c r="O12" s="7">
        <v>258.98659739999999</v>
      </c>
      <c r="P12" s="7">
        <v>259.0092583</v>
      </c>
      <c r="Q12" s="7">
        <v>-1.0697676E-2</v>
      </c>
      <c r="R12" s="7">
        <v>137.94884909999999</v>
      </c>
      <c r="T12" s="22"/>
      <c r="U12">
        <v>2008</v>
      </c>
      <c r="V12">
        <v>30.392968199999999</v>
      </c>
      <c r="W12">
        <v>23.666406649999999</v>
      </c>
      <c r="Y12">
        <v>2008</v>
      </c>
      <c r="Z12">
        <v>26.343498224999998</v>
      </c>
    </row>
    <row r="13" spans="1:26" x14ac:dyDescent="0.35">
      <c r="A13">
        <v>2009</v>
      </c>
      <c r="B13">
        <v>0.44162508099999997</v>
      </c>
      <c r="C13">
        <v>1.94</v>
      </c>
      <c r="D13">
        <v>1861.9466600000001</v>
      </c>
      <c r="E13">
        <v>1839.24567</v>
      </c>
      <c r="F13">
        <f t="shared" si="0"/>
        <v>1850.5961649999999</v>
      </c>
      <c r="G13">
        <v>268.68379199999998</v>
      </c>
      <c r="H13">
        <v>37.208895374999997</v>
      </c>
      <c r="I13">
        <v>192.891918</v>
      </c>
      <c r="J13">
        <v>8.7103290179999995</v>
      </c>
      <c r="K13">
        <v>146.0667268</v>
      </c>
      <c r="M13" s="7">
        <v>158.40736198429801</v>
      </c>
      <c r="N13" s="7">
        <v>128.03562539999999</v>
      </c>
      <c r="O13" s="7">
        <v>272.72083240000001</v>
      </c>
      <c r="P13" s="7">
        <v>271.9987524</v>
      </c>
      <c r="Q13" s="7">
        <v>4.6000006000000003E-2</v>
      </c>
      <c r="R13" s="7">
        <v>128.03562539999999</v>
      </c>
      <c r="T13" s="22"/>
      <c r="U13">
        <v>2009</v>
      </c>
      <c r="V13">
        <v>32.937889599999998</v>
      </c>
      <c r="W13">
        <v>23.771875399999999</v>
      </c>
      <c r="Y13">
        <v>2009</v>
      </c>
      <c r="Z13" s="1">
        <v>47.11196648</v>
      </c>
    </row>
    <row r="14" spans="1:26" x14ac:dyDescent="0.35">
      <c r="A14">
        <v>2010</v>
      </c>
      <c r="B14">
        <v>0.42272033549999999</v>
      </c>
      <c r="C14">
        <v>1.82</v>
      </c>
      <c r="D14">
        <v>1857.3482549999999</v>
      </c>
      <c r="E14">
        <v>1879.5253700000001</v>
      </c>
      <c r="F14">
        <f t="shared" si="0"/>
        <v>1868.4368125000001</v>
      </c>
      <c r="G14">
        <v>269.31878649999999</v>
      </c>
      <c r="H14">
        <v>28.583323</v>
      </c>
      <c r="I14">
        <v>181.85380549999999</v>
      </c>
      <c r="J14">
        <v>7.420900005</v>
      </c>
      <c r="K14">
        <v>149.72555929999999</v>
      </c>
      <c r="M14" s="7">
        <v>156.646583333884</v>
      </c>
      <c r="N14" s="7">
        <v>129.87209290000001</v>
      </c>
      <c r="O14" s="7">
        <v>264.63424700000002</v>
      </c>
      <c r="P14" s="7">
        <v>264.4602567</v>
      </c>
      <c r="Q14" s="7">
        <v>-9.6086959E-2</v>
      </c>
      <c r="R14" s="7">
        <v>129.87209290000001</v>
      </c>
      <c r="T14" s="22"/>
      <c r="U14">
        <v>2010</v>
      </c>
      <c r="V14">
        <v>31.492578049999999</v>
      </c>
      <c r="W14">
        <v>24.600000399999999</v>
      </c>
      <c r="Y14">
        <v>2010</v>
      </c>
      <c r="Z14" s="2">
        <v>15.806660033333335</v>
      </c>
    </row>
    <row r="15" spans="1:26" x14ac:dyDescent="0.35">
      <c r="A15">
        <v>2011</v>
      </c>
      <c r="B15">
        <v>0.48034469774999999</v>
      </c>
      <c r="C15">
        <v>2.0299999999999998</v>
      </c>
      <c r="D15">
        <v>1860.43326</v>
      </c>
      <c r="E15">
        <v>1873.35536</v>
      </c>
      <c r="F15">
        <f t="shared" si="0"/>
        <v>1866.8943100000001</v>
      </c>
      <c r="G15">
        <v>267.71893299999999</v>
      </c>
      <c r="H15">
        <v>40.48216875</v>
      </c>
      <c r="I15">
        <v>179.87847525000001</v>
      </c>
      <c r="J15">
        <v>10.156584690000001</v>
      </c>
      <c r="K15">
        <v>150.8505668</v>
      </c>
      <c r="M15" s="7">
        <v>159.140824869672</v>
      </c>
      <c r="N15" s="7">
        <v>129.56766619999999</v>
      </c>
      <c r="O15" s="7">
        <v>264.37441840000002</v>
      </c>
      <c r="P15" s="7">
        <v>264.0148504</v>
      </c>
      <c r="Q15" s="7">
        <v>0.109117651</v>
      </c>
      <c r="R15" s="7">
        <v>129.56766619999999</v>
      </c>
      <c r="T15" s="22"/>
      <c r="U15">
        <v>2011</v>
      </c>
      <c r="V15">
        <v>31.346093674999999</v>
      </c>
      <c r="W15">
        <v>23.990625399999999</v>
      </c>
      <c r="Y15">
        <v>2011</v>
      </c>
      <c r="Z15">
        <v>27.9676395575</v>
      </c>
    </row>
    <row r="16" spans="1:26" x14ac:dyDescent="0.35">
      <c r="A16">
        <v>2012</v>
      </c>
      <c r="B16">
        <v>0.44095622000000001</v>
      </c>
      <c r="C16">
        <v>2.1800000000000002</v>
      </c>
      <c r="D16">
        <v>1877.4881</v>
      </c>
      <c r="E16">
        <v>1877.8955550000001</v>
      </c>
      <c r="F16">
        <f t="shared" si="0"/>
        <v>1877.6918275</v>
      </c>
      <c r="G16">
        <v>269.11319750000001</v>
      </c>
      <c r="H16">
        <v>38.318210675000003</v>
      </c>
      <c r="I16">
        <v>194.13436874999999</v>
      </c>
      <c r="J16">
        <v>8.2117278529999993</v>
      </c>
      <c r="K16">
        <v>151.92056479999999</v>
      </c>
      <c r="M16" s="7">
        <v>154.894081228099</v>
      </c>
      <c r="N16" s="7">
        <v>125.46297509999999</v>
      </c>
      <c r="O16" s="7">
        <v>255.41625020000001</v>
      </c>
      <c r="P16" s="7">
        <v>255.12929299999999</v>
      </c>
      <c r="Q16" s="7">
        <v>-2.6428574E-2</v>
      </c>
      <c r="R16" s="7">
        <v>125.46297509999999</v>
      </c>
      <c r="T16" s="22"/>
      <c r="U16">
        <v>2012</v>
      </c>
      <c r="V16">
        <v>31.619531174999999</v>
      </c>
      <c r="W16">
        <v>24.400781649999999</v>
      </c>
      <c r="Y16">
        <v>2012</v>
      </c>
      <c r="Z16">
        <v>25.555826175</v>
      </c>
    </row>
    <row r="17" spans="1:26" x14ac:dyDescent="0.35">
      <c r="A17">
        <v>2013</v>
      </c>
      <c r="B17">
        <v>0.40527729699999998</v>
      </c>
      <c r="C17">
        <v>2.2799999999999998</v>
      </c>
      <c r="D17">
        <v>1860.31684</v>
      </c>
      <c r="E17">
        <v>1873.8210200000001</v>
      </c>
      <c r="F17">
        <f t="shared" si="0"/>
        <v>1867.0689299999999</v>
      </c>
      <c r="G17">
        <v>271.71909349999999</v>
      </c>
      <c r="H17">
        <v>32.368537625000002</v>
      </c>
      <c r="I17">
        <v>194.823452</v>
      </c>
      <c r="J17">
        <v>7.0755191699999997</v>
      </c>
      <c r="K17">
        <v>148.65954579999999</v>
      </c>
      <c r="M17" s="7">
        <v>150.61828048264499</v>
      </c>
      <c r="N17" s="7">
        <v>121.57872089999999</v>
      </c>
      <c r="O17" s="7">
        <v>272.17438879999997</v>
      </c>
      <c r="P17" s="7">
        <v>271.0478731</v>
      </c>
      <c r="Q17" s="7">
        <v>-3.3684209E-2</v>
      </c>
      <c r="R17" s="7">
        <v>121.57872089999999</v>
      </c>
      <c r="T17" s="22"/>
      <c r="U17">
        <v>2013</v>
      </c>
      <c r="V17">
        <v>31.246484299999999</v>
      </c>
      <c r="W17">
        <v>23.955469149999999</v>
      </c>
      <c r="Y17">
        <v>2013</v>
      </c>
      <c r="Z17">
        <v>41.565922520000001</v>
      </c>
    </row>
    <row r="18" spans="1:26" x14ac:dyDescent="0.35">
      <c r="A18">
        <v>2014</v>
      </c>
      <c r="B18">
        <v>0.47441971324999999</v>
      </c>
      <c r="C18">
        <v>2.4</v>
      </c>
      <c r="D18">
        <v>1866.079405</v>
      </c>
      <c r="E18">
        <v>1887.8490649999999</v>
      </c>
      <c r="F18">
        <f t="shared" si="0"/>
        <v>1876.9642349999999</v>
      </c>
      <c r="G18">
        <v>271.17353800000001</v>
      </c>
      <c r="H18">
        <v>43.948949974999998</v>
      </c>
      <c r="I18">
        <v>190.08599824999999</v>
      </c>
      <c r="J18">
        <v>8.3733610029999994</v>
      </c>
      <c r="K18">
        <v>148.1303178</v>
      </c>
      <c r="M18" s="7">
        <v>151.86987105950399</v>
      </c>
      <c r="N18" s="7">
        <v>128.74846120000001</v>
      </c>
      <c r="O18" s="7">
        <v>272.8128577</v>
      </c>
      <c r="P18" s="7">
        <v>273.82022419999998</v>
      </c>
      <c r="Q18" s="7">
        <v>-9.3043480999999997E-2</v>
      </c>
      <c r="R18" s="7">
        <v>128.74846120000001</v>
      </c>
      <c r="T18" s="22"/>
      <c r="U18">
        <v>2014</v>
      </c>
      <c r="V18">
        <v>31.789452574999999</v>
      </c>
      <c r="W18">
        <v>24.594141024999999</v>
      </c>
      <c r="Y18">
        <v>2014</v>
      </c>
      <c r="Z18">
        <v>38.498858133333336</v>
      </c>
    </row>
    <row r="19" spans="1:26" x14ac:dyDescent="0.35">
      <c r="A19">
        <v>2015</v>
      </c>
      <c r="B19">
        <v>0.47588325274999999</v>
      </c>
      <c r="C19">
        <v>2.21</v>
      </c>
      <c r="D19">
        <v>1892.389265</v>
      </c>
      <c r="E19">
        <v>1890.4102050000001</v>
      </c>
      <c r="F19">
        <f t="shared" si="0"/>
        <v>1891.399735</v>
      </c>
      <c r="G19">
        <v>278.67732975000001</v>
      </c>
      <c r="H19">
        <v>44.653673425000001</v>
      </c>
      <c r="I19">
        <v>193.65002049999998</v>
      </c>
      <c r="J19">
        <v>9.1819516429999997</v>
      </c>
      <c r="K19">
        <v>145.4755098</v>
      </c>
      <c r="M19" s="7">
        <v>145.70527327541001</v>
      </c>
      <c r="N19" s="7">
        <v>136.36194710000001</v>
      </c>
      <c r="O19" s="7">
        <v>268.78955150000002</v>
      </c>
      <c r="P19" s="7">
        <v>268.03023230000002</v>
      </c>
      <c r="Q19" s="7">
        <v>-9.1562497000000007E-2</v>
      </c>
      <c r="R19" s="7">
        <v>136.36194710000001</v>
      </c>
      <c r="T19" s="22"/>
      <c r="U19">
        <v>2015</v>
      </c>
      <c r="V19">
        <v>33.781639124999998</v>
      </c>
      <c r="W19">
        <v>24.867578524999999</v>
      </c>
      <c r="Y19">
        <v>2015</v>
      </c>
      <c r="Z19">
        <v>20.012087833333332</v>
      </c>
    </row>
    <row r="20" spans="1:26" x14ac:dyDescent="0.35">
      <c r="A20">
        <v>2016</v>
      </c>
      <c r="B20">
        <v>0.41763666275</v>
      </c>
      <c r="C20">
        <v>1.39</v>
      </c>
      <c r="D20">
        <v>1891.5161499999999</v>
      </c>
      <c r="E20">
        <v>1875.9165</v>
      </c>
      <c r="F20">
        <f t="shared" si="0"/>
        <v>1883.7163249999999</v>
      </c>
      <c r="G20">
        <v>269.10071800000003</v>
      </c>
      <c r="H20">
        <v>39.621886474999997</v>
      </c>
      <c r="I20">
        <v>172.99730674999998</v>
      </c>
      <c r="J20">
        <v>9.4038826649999994</v>
      </c>
      <c r="K20">
        <v>151.3941078</v>
      </c>
      <c r="M20" s="7">
        <v>151.98344806859501</v>
      </c>
      <c r="N20" s="7">
        <v>127.70760799999999</v>
      </c>
      <c r="O20" s="7">
        <v>257.30769299999997</v>
      </c>
      <c r="P20" s="7">
        <v>256.58000090000002</v>
      </c>
      <c r="Q20" s="7">
        <v>-0.105666669</v>
      </c>
      <c r="R20" s="7">
        <v>127.70760799999999</v>
      </c>
      <c r="T20" s="22"/>
      <c r="U20">
        <v>2016</v>
      </c>
      <c r="V20">
        <v>31.711327574999999</v>
      </c>
      <c r="W20">
        <v>24.109766024999999</v>
      </c>
      <c r="Y20">
        <v>2016</v>
      </c>
      <c r="Z20" s="2">
        <v>16.251443900000002</v>
      </c>
    </row>
    <row r="21" spans="1:26" x14ac:dyDescent="0.35">
      <c r="A21">
        <v>2017</v>
      </c>
      <c r="B21">
        <v>0.50269169349999998</v>
      </c>
      <c r="C21">
        <v>1.85</v>
      </c>
      <c r="D21">
        <v>1899.89805</v>
      </c>
      <c r="E21">
        <v>1899.3159800000001</v>
      </c>
      <c r="F21">
        <f t="shared" si="0"/>
        <v>1899.607015</v>
      </c>
      <c r="G21">
        <v>268.49926000000005</v>
      </c>
      <c r="H21">
        <v>48.269286175000005</v>
      </c>
      <c r="I21">
        <v>169.82650375</v>
      </c>
      <c r="J21">
        <v>9.1430070079999997</v>
      </c>
      <c r="K21">
        <v>151.7941648</v>
      </c>
      <c r="M21" s="7">
        <v>148.789957839669</v>
      </c>
      <c r="N21" s="7">
        <v>126.85560769999999</v>
      </c>
      <c r="O21" s="7">
        <v>274.17500009999998</v>
      </c>
      <c r="P21" s="7">
        <v>273.96309339999999</v>
      </c>
      <c r="Q21" s="7">
        <v>0.18593749500000001</v>
      </c>
      <c r="R21" s="7">
        <v>126.85560769999999</v>
      </c>
      <c r="T21" s="22"/>
      <c r="U21">
        <v>2017</v>
      </c>
      <c r="V21">
        <v>32.016015074999999</v>
      </c>
      <c r="W21">
        <v>24.900781649999999</v>
      </c>
      <c r="Y21">
        <v>2017</v>
      </c>
      <c r="Z21">
        <v>23.287647025000002</v>
      </c>
    </row>
    <row r="22" spans="1:26" x14ac:dyDescent="0.35">
      <c r="A22">
        <v>2018</v>
      </c>
      <c r="B22">
        <v>0.39991208924999999</v>
      </c>
      <c r="C22">
        <v>2.5499999999999998</v>
      </c>
      <c r="D22">
        <v>1889.71171</v>
      </c>
      <c r="E22">
        <v>1888.3729349999999</v>
      </c>
      <c r="F22">
        <f t="shared" si="0"/>
        <v>1889.0423225</v>
      </c>
      <c r="G22">
        <v>270.88566600000001</v>
      </c>
      <c r="H22">
        <v>40.421781725000002</v>
      </c>
      <c r="I22">
        <v>186.4484635</v>
      </c>
      <c r="J22">
        <v>9.2484114900000005</v>
      </c>
      <c r="K22">
        <v>145.88011750000001</v>
      </c>
      <c r="M22" s="7">
        <v>147.89229902809899</v>
      </c>
      <c r="N22" s="7">
        <v>114.4691869</v>
      </c>
      <c r="O22" s="7">
        <v>248.9791673</v>
      </c>
      <c r="P22" s="7">
        <v>248.9035724</v>
      </c>
      <c r="Q22" s="7">
        <v>-0.102999998</v>
      </c>
      <c r="R22" s="7">
        <v>114.4691869</v>
      </c>
      <c r="T22" s="22"/>
      <c r="U22">
        <v>2018</v>
      </c>
      <c r="V22">
        <v>32.389061949999999</v>
      </c>
      <c r="W22">
        <v>24.033594149999999</v>
      </c>
      <c r="Y22">
        <v>2018</v>
      </c>
      <c r="Z22">
        <v>29.124385200000003</v>
      </c>
    </row>
    <row r="23" spans="1:26" x14ac:dyDescent="0.35">
      <c r="A23">
        <v>2019</v>
      </c>
      <c r="B23">
        <v>0.48343104125000003</v>
      </c>
      <c r="C23">
        <v>2.67</v>
      </c>
      <c r="D23">
        <v>1858.6870250000002</v>
      </c>
      <c r="E23">
        <v>1867.35997</v>
      </c>
      <c r="F23">
        <f t="shared" si="0"/>
        <v>1863.0234975000001</v>
      </c>
      <c r="G23">
        <v>268.17426324999997</v>
      </c>
      <c r="H23">
        <v>42.149276700000001</v>
      </c>
      <c r="I23">
        <v>165.72992699999998</v>
      </c>
      <c r="J23">
        <v>7.9446567129999996</v>
      </c>
      <c r="K23">
        <v>149.83531780000001</v>
      </c>
      <c r="M23" s="7">
        <v>146.80208197786899</v>
      </c>
      <c r="N23" s="7">
        <v>122.51444739999999</v>
      </c>
      <c r="O23" s="7">
        <v>278.5295759</v>
      </c>
      <c r="P23" s="7">
        <v>278.65454469999997</v>
      </c>
      <c r="Q23" s="7">
        <v>-8.4482759000000004E-2</v>
      </c>
      <c r="R23" s="7">
        <v>122.51444739999999</v>
      </c>
      <c r="T23" s="22"/>
      <c r="U23">
        <v>2019</v>
      </c>
      <c r="V23">
        <v>31.498436949999999</v>
      </c>
      <c r="W23">
        <v>24.775781649999999</v>
      </c>
      <c r="Y23">
        <v>2019</v>
      </c>
      <c r="Z23">
        <v>36.984582424999999</v>
      </c>
    </row>
    <row r="24" spans="1:26" x14ac:dyDescent="0.35">
      <c r="A24">
        <v>2020</v>
      </c>
      <c r="B24">
        <v>0.47372508799999996</v>
      </c>
      <c r="C24">
        <v>2.8</v>
      </c>
      <c r="D24">
        <v>1877.19706</v>
      </c>
      <c r="E24">
        <v>1890.0027500000001</v>
      </c>
      <c r="F24">
        <f t="shared" si="0"/>
        <v>1883.599905</v>
      </c>
      <c r="G24">
        <v>262.88987699999996</v>
      </c>
      <c r="H24">
        <v>41.473484725000006</v>
      </c>
      <c r="I24">
        <v>175.64732375</v>
      </c>
      <c r="J24">
        <v>10.32924556</v>
      </c>
      <c r="K24">
        <v>142.02125179999999</v>
      </c>
      <c r="M24" s="7">
        <v>150.231494931405</v>
      </c>
      <c r="N24" s="7">
        <v>118.5672414</v>
      </c>
      <c r="O24" s="7">
        <v>270.52567720000002</v>
      </c>
      <c r="P24" s="7">
        <v>270.50864289999998</v>
      </c>
      <c r="Q24" s="7">
        <v>-1.0303023999999999E-2</v>
      </c>
      <c r="R24" s="7">
        <v>118.5672414</v>
      </c>
      <c r="T24" s="22"/>
      <c r="U24">
        <v>2020</v>
      </c>
      <c r="V24">
        <v>32.322656174999999</v>
      </c>
      <c r="W24">
        <v>25.314844149999999</v>
      </c>
      <c r="Y24">
        <v>2020</v>
      </c>
      <c r="Z24">
        <v>29.956616220000001</v>
      </c>
    </row>
    <row r="25" spans="1:26" x14ac:dyDescent="0.35">
      <c r="T25" s="22"/>
    </row>
    <row r="29" spans="1:26" x14ac:dyDescent="0.35">
      <c r="G29" t="s">
        <v>35</v>
      </c>
      <c r="N29" t="s">
        <v>36</v>
      </c>
    </row>
    <row r="30" spans="1:26" x14ac:dyDescent="0.35">
      <c r="H30" t="s">
        <v>37</v>
      </c>
    </row>
    <row r="31" spans="1:26" x14ac:dyDescent="0.35">
      <c r="H31" t="s">
        <v>38</v>
      </c>
    </row>
    <row r="32" spans="1:26" x14ac:dyDescent="0.35">
      <c r="H32" t="s">
        <v>39</v>
      </c>
    </row>
  </sheetData>
  <mergeCells count="4">
    <mergeCell ref="A1:K1"/>
    <mergeCell ref="T1:T25"/>
    <mergeCell ref="U1:W1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VNS_WHEAT</vt:lpstr>
      <vt:lpstr>VNS_MAIZE</vt:lpstr>
      <vt:lpstr>VNS_RICE</vt:lpstr>
      <vt:lpstr>SNB_WHEAT</vt:lpstr>
      <vt:lpstr>SNB_MAIZE</vt:lpstr>
      <vt:lpstr>SNB_RICE</vt:lpstr>
      <vt:lpstr>PYG_WHEAT</vt:lpstr>
      <vt:lpstr>PYG_MAIZE</vt:lpstr>
      <vt:lpstr>PYG_RICE</vt:lpstr>
      <vt:lpstr>GKP_Wheat</vt:lpstr>
      <vt:lpstr>GKP_MAIZE</vt:lpstr>
      <vt:lpstr>GKP_RICE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Ratna</dc:creator>
  <cp:lastModifiedBy>Pratiksha Ratna</cp:lastModifiedBy>
  <dcterms:created xsi:type="dcterms:W3CDTF">2025-08-03T15:57:32Z</dcterms:created>
  <dcterms:modified xsi:type="dcterms:W3CDTF">2025-08-10T09:45:31Z</dcterms:modified>
</cp:coreProperties>
</file>